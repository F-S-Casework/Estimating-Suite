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361" documentId="11_2B70A136E850556E6C1F6963449759035FE3E1FD" xr6:coauthVersionLast="47" xr6:coauthVersionMax="47" xr10:uidLastSave="{F99B325B-E3B0-4FC0-BB0E-29AA22FE6C26}"/>
  <bookViews>
    <workbookView xWindow="0" yWindow="0" windowWidth="16384" windowHeight="8192" tabRatio="500" xr2:uid="{00000000-000D-0000-FFFF-FFFF00000000}"/>
  </bookViews>
  <sheets>
    <sheet name="2026 Bid Tracker" sheetId="1" r:id="rId1"/>
    <sheet name="2025 Bid Tracker" sheetId="2" r:id="rId2"/>
    <sheet name="Current Jobs" sheetId="3" r:id="rId3"/>
    <sheet name="Change Order" sheetId="4" r:id="rId4"/>
    <sheet name="Historical" sheetId="5" r:id="rId5"/>
    <sheet name="Dashboard" sheetId="6" r:id="rId6"/>
    <sheet name="Running TO-DO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" i="5" l="1"/>
  <c r="C3" i="5"/>
  <c r="B3" i="5"/>
  <c r="C4" i="5"/>
  <c r="B4" i="5"/>
  <c r="B11" i="6"/>
  <c r="B10" i="6"/>
  <c r="C9" i="6"/>
  <c r="B9" i="6"/>
  <c r="C4" i="6"/>
  <c r="B4" i="6"/>
  <c r="C3" i="6"/>
  <c r="B3" i="6"/>
  <c r="E2" i="5"/>
  <c r="F47" i="3"/>
  <c r="G47" i="3" s="1"/>
  <c r="F46" i="3"/>
  <c r="G46" i="3" s="1"/>
  <c r="G44" i="3"/>
  <c r="F44" i="3"/>
  <c r="F43" i="3"/>
  <c r="G43" i="3" s="1"/>
  <c r="F42" i="3"/>
  <c r="G42" i="3" s="1"/>
  <c r="F41" i="3"/>
  <c r="G41" i="3" s="1"/>
  <c r="G40" i="3"/>
  <c r="F40" i="3"/>
  <c r="G39" i="3"/>
  <c r="F39" i="3"/>
  <c r="F38" i="3"/>
  <c r="G38" i="3" s="1"/>
  <c r="F37" i="3"/>
  <c r="G37" i="3" s="1"/>
  <c r="G36" i="3"/>
  <c r="F36" i="3"/>
  <c r="F35" i="3"/>
  <c r="G35" i="3" s="1"/>
  <c r="F34" i="3"/>
  <c r="G34" i="3" s="1"/>
  <c r="G33" i="3"/>
  <c r="F33" i="3"/>
  <c r="F32" i="3"/>
  <c r="G32" i="3" s="1"/>
  <c r="F31" i="3"/>
  <c r="G31" i="3" s="1"/>
  <c r="F30" i="3"/>
  <c r="G30" i="3" s="1"/>
  <c r="F29" i="3"/>
  <c r="G29" i="3" s="1"/>
  <c r="F28" i="3"/>
  <c r="G28" i="3" s="1"/>
  <c r="F27" i="3"/>
  <c r="G27" i="3" s="1"/>
  <c r="G26" i="3"/>
  <c r="F26" i="3"/>
  <c r="F25" i="3"/>
  <c r="G25" i="3" s="1"/>
  <c r="G24" i="3"/>
  <c r="F24" i="3"/>
  <c r="F23" i="3"/>
  <c r="G23" i="3" s="1"/>
  <c r="F22" i="3"/>
  <c r="G22" i="3" s="1"/>
  <c r="G21" i="3"/>
  <c r="F21" i="3"/>
  <c r="F20" i="3"/>
  <c r="G20" i="3" s="1"/>
  <c r="F19" i="3"/>
  <c r="G19" i="3" s="1"/>
  <c r="G18" i="3"/>
  <c r="F18" i="3"/>
  <c r="G17" i="3"/>
  <c r="F17" i="3"/>
  <c r="F16" i="3"/>
  <c r="G16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F5" i="3"/>
  <c r="G5" i="3" s="1"/>
  <c r="F4" i="3"/>
  <c r="G4" i="3" s="1"/>
  <c r="F3" i="3"/>
  <c r="G3" i="3" s="1"/>
  <c r="G2" i="3"/>
  <c r="F2" i="3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9" i="2"/>
  <c r="K8" i="2"/>
  <c r="K7" i="2"/>
  <c r="K6" i="2"/>
  <c r="K5" i="2"/>
  <c r="K4" i="2"/>
  <c r="K3" i="2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F4" i="5" l="1"/>
  <c r="D3" i="5"/>
  <c r="D4" i="5"/>
  <c r="B7" i="6"/>
  <c r="B5" i="6"/>
  <c r="B6" i="6" s="1"/>
  <c r="E4" i="5"/>
  <c r="C7" i="6"/>
  <c r="C5" i="6"/>
  <c r="C6" i="6" s="1"/>
  <c r="E3" i="5"/>
  <c r="G3" i="5" l="1"/>
  <c r="C8" i="6"/>
  <c r="G4" i="5"/>
  <c r="B8" i="6"/>
</calcChain>
</file>

<file path=xl/sharedStrings.xml><?xml version="1.0" encoding="utf-8"?>
<sst xmlns="http://schemas.openxmlformats.org/spreadsheetml/2006/main" count="3202" uniqueCount="1263">
  <si>
    <t>Job ID</t>
  </si>
  <si>
    <t>Month</t>
  </si>
  <si>
    <t>Client</t>
  </si>
  <si>
    <t>Project Name</t>
  </si>
  <si>
    <t>Bid Due Date</t>
  </si>
  <si>
    <t>Drawing Stage</t>
  </si>
  <si>
    <t>Bid Type</t>
  </si>
  <si>
    <t>Sent Date</t>
  </si>
  <si>
    <t>Sub. Method</t>
  </si>
  <si>
    <t>Status</t>
  </si>
  <si>
    <t>Win?</t>
  </si>
  <si>
    <t>Job Type</t>
  </si>
  <si>
    <t>Est. Bid Value</t>
  </si>
  <si>
    <t>Link: Drawings</t>
  </si>
  <si>
    <t>Link: Specs</t>
  </si>
  <si>
    <t>Link: Schedule</t>
  </si>
  <si>
    <t>Notes</t>
  </si>
  <si>
    <t>Bid Feedback</t>
  </si>
  <si>
    <t>NTP Received?</t>
  </si>
  <si>
    <t>Final Cost</t>
  </si>
  <si>
    <t>Profit Margin ($)</t>
  </si>
  <si>
    <t>CO Link</t>
  </si>
  <si>
    <t>Lessons Learned</t>
  </si>
  <si>
    <t>January</t>
  </si>
  <si>
    <t>Q-26-003</t>
  </si>
  <si>
    <t>Viking</t>
  </si>
  <si>
    <t>Legacy Good Sam Pharmacy Retrofit</t>
  </si>
  <si>
    <t>CD</t>
  </si>
  <si>
    <t>Hard Bid</t>
  </si>
  <si>
    <t>01/16/2026</t>
  </si>
  <si>
    <t>Email</t>
  </si>
  <si>
    <t>Won</t>
  </si>
  <si>
    <t>Q-26-004</t>
  </si>
  <si>
    <t>Brian Kasler</t>
  </si>
  <si>
    <t>Ktichen &amp; Bath Cabinets</t>
  </si>
  <si>
    <t>Budget</t>
  </si>
  <si>
    <t>01/19/2026</t>
  </si>
  <si>
    <t>Sent</t>
  </si>
  <si>
    <t>Residential</t>
  </si>
  <si>
    <t>Q-26-005</t>
  </si>
  <si>
    <t>Schommer &amp; Sons</t>
  </si>
  <si>
    <t>Tualatin Park Office Reno</t>
  </si>
  <si>
    <t>Bid Set</t>
  </si>
  <si>
    <t>01/22/2026</t>
  </si>
  <si>
    <t>BuildingConnected</t>
  </si>
  <si>
    <t>Renovation</t>
  </si>
  <si>
    <t>Q-26-006</t>
  </si>
  <si>
    <t>Ross Builder</t>
  </si>
  <si>
    <t>Q-26-007</t>
  </si>
  <si>
    <t>Legacy Salmon Creek</t>
  </si>
  <si>
    <t>527 Closet Cab</t>
  </si>
  <si>
    <t>Healthcare</t>
  </si>
  <si>
    <t>Q-26-008</t>
  </si>
  <si>
    <t>Norwest</t>
  </si>
  <si>
    <t>Gresham Advanced Dentistry</t>
  </si>
  <si>
    <t>01/14/2026</t>
  </si>
  <si>
    <t>Dental</t>
  </si>
  <si>
    <t>Q-26-009</t>
  </si>
  <si>
    <t>Tim- TRBLDG Servies</t>
  </si>
  <si>
    <t>NW Primary Care- SE Mallard Way</t>
  </si>
  <si>
    <t>Q-26-010</t>
  </si>
  <si>
    <t>Manion Design</t>
  </si>
  <si>
    <t>Back Bar Cabs</t>
  </si>
  <si>
    <t>Q-26-011</t>
  </si>
  <si>
    <t>OHSU HMC</t>
  </si>
  <si>
    <t>8th Ave Ste 205</t>
  </si>
  <si>
    <t>Q-26-012</t>
  </si>
  <si>
    <t>Rm 1321 Countertop</t>
  </si>
  <si>
    <t>Q-26-013</t>
  </si>
  <si>
    <t>Idea Interiors</t>
  </si>
  <si>
    <t>Coats &amp; Tails Lobby Remodel</t>
  </si>
  <si>
    <t>Commercial TI</t>
  </si>
  <si>
    <t>Q-26-014</t>
  </si>
  <si>
    <t>Five Star</t>
  </si>
  <si>
    <t>Meridian Park FSB- Corian CT</t>
  </si>
  <si>
    <t>Q-26-015</t>
  </si>
  <si>
    <t>Systems Cabinets</t>
  </si>
  <si>
    <t>Q-26-016</t>
  </si>
  <si>
    <t>Emanuel Rm 1611</t>
  </si>
  <si>
    <t>Q-26-017</t>
  </si>
  <si>
    <t>On Hold</t>
  </si>
  <si>
    <t>Wilammette Falls</t>
  </si>
  <si>
    <t>Behavioral Sloped Corian</t>
  </si>
  <si>
    <t>Q-26-018</t>
  </si>
  <si>
    <t>ICU Corian CT</t>
  </si>
  <si>
    <t>01/15/2026</t>
  </si>
  <si>
    <t>Hospital</t>
  </si>
  <si>
    <t>Q-26-019</t>
  </si>
  <si>
    <t>17 Cab Drawers w/ servo drive</t>
  </si>
  <si>
    <t>Q-26-020</t>
  </si>
  <si>
    <t>VAM</t>
  </si>
  <si>
    <t>Aligned Hillsboro Campus</t>
  </si>
  <si>
    <t>Commercial</t>
  </si>
  <si>
    <t>Q-26-021</t>
  </si>
  <si>
    <t>Stones Dental- Added Scope/ Sterile Revision</t>
  </si>
  <si>
    <t>Q-26-022</t>
  </si>
  <si>
    <t>Trainor</t>
  </si>
  <si>
    <t>Herman Miller Wood Ceiling Install</t>
  </si>
  <si>
    <t>01/21/2026</t>
  </si>
  <si>
    <t>Q-26-023</t>
  </si>
  <si>
    <t>Design Within Reach</t>
  </si>
  <si>
    <t>Q-26-024</t>
  </si>
  <si>
    <t>Robert Hakes</t>
  </si>
  <si>
    <t>Elite Recovery</t>
  </si>
  <si>
    <t>Q-26-025</t>
  </si>
  <si>
    <t>Essex</t>
  </si>
  <si>
    <t>Bonneville St Johns</t>
  </si>
  <si>
    <t>Q-26-026</t>
  </si>
  <si>
    <t>Andersen</t>
  </si>
  <si>
    <t>Meadowlark Place</t>
  </si>
  <si>
    <t>01/23/2026</t>
  </si>
  <si>
    <t>Q-26-027</t>
  </si>
  <si>
    <t>LMC</t>
  </si>
  <si>
    <t>Q-26-028</t>
  </si>
  <si>
    <t>Legacy GS WHA Expansion</t>
  </si>
  <si>
    <t>01/20/2026</t>
  </si>
  <si>
    <t>Q-26-029</t>
  </si>
  <si>
    <t>Legacy EMC Trauma Relocation</t>
  </si>
  <si>
    <t>50% SD</t>
  </si>
  <si>
    <t>Healthcare, Renovation</t>
  </si>
  <si>
    <t>Q-26-030</t>
  </si>
  <si>
    <t>Cameron's Chok Dee</t>
  </si>
  <si>
    <t>Pacific Towers Ste 1012 Revised Layout</t>
  </si>
  <si>
    <t>Q-26-031</t>
  </si>
  <si>
    <t>CCDC</t>
  </si>
  <si>
    <t>153 Volcano View- Cam's Casework</t>
  </si>
  <si>
    <t>Design Assist</t>
  </si>
  <si>
    <t>02/06/2026</t>
  </si>
  <si>
    <t>Q-26-032</t>
  </si>
  <si>
    <t>Inline</t>
  </si>
  <si>
    <t>Pacific University Dining Cabs &amp; CT</t>
  </si>
  <si>
    <t>Q-26-033</t>
  </si>
  <si>
    <t>Design Build</t>
  </si>
  <si>
    <t>NW Urology Price 3 base Cabs</t>
  </si>
  <si>
    <t>01/26/2026</t>
  </si>
  <si>
    <t>Q-26-034</t>
  </si>
  <si>
    <t>Legacy Silverton Purple Casework</t>
  </si>
  <si>
    <t>Q-26-035</t>
  </si>
  <si>
    <t>Trainor Construction</t>
  </si>
  <si>
    <t>TI, Commercial</t>
  </si>
  <si>
    <t>February</t>
  </si>
  <si>
    <t>Q-26-037</t>
  </si>
  <si>
    <t>Clemons Oral Surgery</t>
  </si>
  <si>
    <t>02/02/2026</t>
  </si>
  <si>
    <t>Procore</t>
  </si>
  <si>
    <t>Client Lost</t>
  </si>
  <si>
    <t xml:space="preserve">We beat Gunderson </t>
  </si>
  <si>
    <t>Q-26-038</t>
  </si>
  <si>
    <t>Legacy TOC OBGYN  Expansion</t>
  </si>
  <si>
    <t>100% DD</t>
  </si>
  <si>
    <t>Healthcare, TI</t>
  </si>
  <si>
    <t>Q-26-039</t>
  </si>
  <si>
    <t xml:space="preserve">Viking </t>
  </si>
  <si>
    <t>Q-26-040</t>
  </si>
  <si>
    <t>Q-26-041</t>
  </si>
  <si>
    <t>01/27/2026</t>
  </si>
  <si>
    <t>NW Windermere</t>
  </si>
  <si>
    <t>01/29/2026</t>
  </si>
  <si>
    <t>V1: Quartz and Veneer V2: Furniture ALTs V3: All P-Lam</t>
  </si>
  <si>
    <t>Q-26-042</t>
  </si>
  <si>
    <t>Pacific Office Automation</t>
  </si>
  <si>
    <t>Q-26-043</t>
  </si>
  <si>
    <t>TOC Plastic Surgery</t>
  </si>
  <si>
    <t>100% SD</t>
  </si>
  <si>
    <t>02/09/2026</t>
  </si>
  <si>
    <t>Healthcare, Renovation, TI</t>
  </si>
  <si>
    <t>Q-26-044</t>
  </si>
  <si>
    <t>Park Tower 4- Suite 209</t>
  </si>
  <si>
    <t>Commercial, TI</t>
  </si>
  <si>
    <t>Q-26-045</t>
  </si>
  <si>
    <t>PMB</t>
  </si>
  <si>
    <t>Peacehealth Phys Pavilion Ste 100</t>
  </si>
  <si>
    <t>02/10/2026</t>
  </si>
  <si>
    <t>Q-26-046</t>
  </si>
  <si>
    <t>11/19/2025</t>
  </si>
  <si>
    <t>Adventist Health 3rd Floor// Digestive Health</t>
  </si>
  <si>
    <t>02/13/2026</t>
  </si>
  <si>
    <t>Q-26-047</t>
  </si>
  <si>
    <t>Jubitz</t>
  </si>
  <si>
    <t>New Cabs</t>
  </si>
  <si>
    <t>02/07/2026</t>
  </si>
  <si>
    <t>Commercial, Renovation</t>
  </si>
  <si>
    <t>Q-26-048</t>
  </si>
  <si>
    <t>St Andrews Church RR</t>
  </si>
  <si>
    <t>Q-26-049</t>
  </si>
  <si>
    <t>Eye health NW Admin Remodel</t>
  </si>
  <si>
    <t>Q-26-050</t>
  </si>
  <si>
    <t xml:space="preserve">Emanuel Rm 5403 </t>
  </si>
  <si>
    <t>Healthcare, Renovation, Hospital</t>
  </si>
  <si>
    <t>Q-26-051</t>
  </si>
  <si>
    <t>Divine Complexion</t>
  </si>
  <si>
    <t>02/11/2026</t>
  </si>
  <si>
    <t>TI, Healthcare, Commercial</t>
  </si>
  <si>
    <t>Q-26-052</t>
  </si>
  <si>
    <t>ROSECITY HEAD &amp; NECK SURGERY</t>
  </si>
  <si>
    <t>Q-26-053</t>
  </si>
  <si>
    <t>Mackin's Auto</t>
  </si>
  <si>
    <t>Office Remodel</t>
  </si>
  <si>
    <t>Q-26-054</t>
  </si>
  <si>
    <t>Emanuel Countertop</t>
  </si>
  <si>
    <t>02/24/2026</t>
  </si>
  <si>
    <t>Q-26-055</t>
  </si>
  <si>
    <t>Pacific Crest</t>
  </si>
  <si>
    <t>Blue Ox</t>
  </si>
  <si>
    <t>Q-26-056</t>
  </si>
  <si>
    <t>D&amp;T Excavation Shop</t>
  </si>
  <si>
    <t>Permit</t>
  </si>
  <si>
    <t>02/16/2026</t>
  </si>
  <si>
    <t>Q-26-057</t>
  </si>
  <si>
    <t>Rhodes Chiropractic</t>
  </si>
  <si>
    <t>Q-26-058</t>
  </si>
  <si>
    <t>LMHMC</t>
  </si>
  <si>
    <t>Exam Rms</t>
  </si>
  <si>
    <t>Healthcare, Hospital, Renovation</t>
  </si>
  <si>
    <t>Q-26-059</t>
  </si>
  <si>
    <t>PLAM Repairs</t>
  </si>
  <si>
    <t>Q-26-060</t>
  </si>
  <si>
    <t>Skinwise Reception Desk</t>
  </si>
  <si>
    <t>Healthcare, Commercial</t>
  </si>
  <si>
    <t>Q-26-061</t>
  </si>
  <si>
    <t>RHS- RS Medical</t>
  </si>
  <si>
    <t>02/19/2026</t>
  </si>
  <si>
    <t>Q-26-062</t>
  </si>
  <si>
    <t>Legacy SMC Outpatient Pharmacy</t>
  </si>
  <si>
    <t>02/25/2026</t>
  </si>
  <si>
    <t>Q-26-063</t>
  </si>
  <si>
    <t>Westside Behavioral Therapy</t>
  </si>
  <si>
    <t>02/26/2026</t>
  </si>
  <si>
    <t>March</t>
  </si>
  <si>
    <t>Q-26-065</t>
  </si>
  <si>
    <t>03/01/2026</t>
  </si>
  <si>
    <t>Prov St. Vincent CVL 7</t>
  </si>
  <si>
    <t>03/02/2026</t>
  </si>
  <si>
    <t>Hospital, Renovation</t>
  </si>
  <si>
    <t>Q-26-066</t>
  </si>
  <si>
    <t>Pence</t>
  </si>
  <si>
    <t>PeaceHealth Vancouver Rehab Hospital</t>
  </si>
  <si>
    <t>03/11/2026</t>
  </si>
  <si>
    <t>ConstructConnect</t>
  </si>
  <si>
    <t>Q-26-067</t>
  </si>
  <si>
    <t>03/03/2026</t>
  </si>
  <si>
    <t>Howard S Wright</t>
  </si>
  <si>
    <t>Q-26-068</t>
  </si>
  <si>
    <t>03/04/2026</t>
  </si>
  <si>
    <t>Q-26-069</t>
  </si>
  <si>
    <t>03/05/2026</t>
  </si>
  <si>
    <t>Pac U VOA East Family Relief Center</t>
  </si>
  <si>
    <t>Q-26-070</t>
  </si>
  <si>
    <t>03/06/2026</t>
  </si>
  <si>
    <t>Livewell Animal Hospital - Skyview</t>
  </si>
  <si>
    <t>Client Backed Out</t>
  </si>
  <si>
    <t>Q-26-071</t>
  </si>
  <si>
    <t>03/07/2026</t>
  </si>
  <si>
    <t>Livewell Animal Hospital - Tigard</t>
  </si>
  <si>
    <t>Vet, TI</t>
  </si>
  <si>
    <t>Q-26-072</t>
  </si>
  <si>
    <t>03/08/2026</t>
  </si>
  <si>
    <t>Eastside Ortho</t>
  </si>
  <si>
    <t>Q-26-073</t>
  </si>
  <si>
    <t>03/09/2026</t>
  </si>
  <si>
    <t>Boulevard ALP</t>
  </si>
  <si>
    <t>Q-26-074</t>
  </si>
  <si>
    <t>03/10/2026</t>
  </si>
  <si>
    <t>LCL</t>
  </si>
  <si>
    <t>LSC CT#1 Replacement</t>
  </si>
  <si>
    <t>Q-26-075</t>
  </si>
  <si>
    <t>Mortenson</t>
  </si>
  <si>
    <t>Kaiser WMC Gen Rad</t>
  </si>
  <si>
    <t>Q-26-076</t>
  </si>
  <si>
    <t>03/12/2026</t>
  </si>
  <si>
    <t>UO Acoustic Lab- Added Soffit and Cabs</t>
  </si>
  <si>
    <t>School</t>
  </si>
  <si>
    <t>Q-26-077</t>
  </si>
  <si>
    <t>03/13/2026</t>
  </si>
  <si>
    <t>OHSU</t>
  </si>
  <si>
    <t>Forest Grove PC Break RM</t>
  </si>
  <si>
    <t>Q-26-078</t>
  </si>
  <si>
    <t>03/14/2026</t>
  </si>
  <si>
    <t>Greenburg COR #2 - Private Office CT</t>
  </si>
  <si>
    <t>Dental, Renovation</t>
  </si>
  <si>
    <t>Q-26-079</t>
  </si>
  <si>
    <t>03/15/2026</t>
  </si>
  <si>
    <t>First Cascade</t>
  </si>
  <si>
    <t>Sandy City Hall</t>
  </si>
  <si>
    <t>Q-26-080</t>
  </si>
  <si>
    <t>03/16/2026</t>
  </si>
  <si>
    <t>PPS Cesar Chavez Window Sills</t>
  </si>
  <si>
    <t>School, Renovation</t>
  </si>
  <si>
    <t>Q-26-081</t>
  </si>
  <si>
    <t>03/17/2026</t>
  </si>
  <si>
    <t>Laurelhurst Dental COR #3</t>
  </si>
  <si>
    <t>Change Order</t>
  </si>
  <si>
    <t>Q-26-082</t>
  </si>
  <si>
    <t>03/18/2026</t>
  </si>
  <si>
    <t>Windermere Office Shelving Budget</t>
  </si>
  <si>
    <t>Q-26-083</t>
  </si>
  <si>
    <t>03/19/2026</t>
  </si>
  <si>
    <t>Therapeutic Associates Hazel Dell</t>
  </si>
  <si>
    <t>Q-26-084</t>
  </si>
  <si>
    <t>03/20/2026</t>
  </si>
  <si>
    <t xml:space="preserve">Office Remodel </t>
  </si>
  <si>
    <t xml:space="preserve">Owners Office- </t>
  </si>
  <si>
    <t>Q-26-085</t>
  </si>
  <si>
    <t>03/21/2026</t>
  </si>
  <si>
    <t>Unity Lobby</t>
  </si>
  <si>
    <t>Q-26-086</t>
  </si>
  <si>
    <t>03/22/2026</t>
  </si>
  <si>
    <t>LEH Room 2112 Casework</t>
  </si>
  <si>
    <t>Re-Price</t>
  </si>
  <si>
    <t>Q-26-087</t>
  </si>
  <si>
    <t>03/23/2026</t>
  </si>
  <si>
    <t>LEMC Mob 2 Pharmacy</t>
  </si>
  <si>
    <t>Q-26-088</t>
  </si>
  <si>
    <t>03/24/2026</t>
  </si>
  <si>
    <t>Fischer Family Law</t>
  </si>
  <si>
    <t>Notes to Bid: Remove Credenza &amp; Storage Supply shelving. Revisit reception. Alt for Corian</t>
  </si>
  <si>
    <t>Q-26-089</t>
  </si>
  <si>
    <t>03/25/2026</t>
  </si>
  <si>
    <t>HMC Lab Automation</t>
  </si>
  <si>
    <t>Q-26-090</t>
  </si>
  <si>
    <t>03/26/2026</t>
  </si>
  <si>
    <t>HMC- Nuclear Medicine</t>
  </si>
  <si>
    <t>12/23/2025</t>
  </si>
  <si>
    <t>https://andersencloud.egnyte.com/dl/yCPVrhMhqP7p</t>
  </si>
  <si>
    <t>Q-26-091</t>
  </si>
  <si>
    <t>03/27/2026</t>
  </si>
  <si>
    <t>Corvallis Parks Maintenance</t>
  </si>
  <si>
    <t>Q-26-092</t>
  </si>
  <si>
    <t>03/28/2026</t>
  </si>
  <si>
    <t xml:space="preserve">Schaffran </t>
  </si>
  <si>
    <t>RLSB 1S050 Food Resource Center</t>
  </si>
  <si>
    <t>Healthcare, TI, Renovation</t>
  </si>
  <si>
    <t>Q-26-093</t>
  </si>
  <si>
    <t>03/29/2026</t>
  </si>
  <si>
    <t>Gresham ASC - Oath</t>
  </si>
  <si>
    <t>Q-26-094</t>
  </si>
  <si>
    <t>03/30/2026</t>
  </si>
  <si>
    <t>Bling Dental Lab</t>
  </si>
  <si>
    <t>Q-26-095</t>
  </si>
  <si>
    <t>03/31/2026</t>
  </si>
  <si>
    <t>Ed Jones Lake Oswego</t>
  </si>
  <si>
    <t>Q-26-096</t>
  </si>
  <si>
    <t>04/01/2026</t>
  </si>
  <si>
    <t>Ross</t>
  </si>
  <si>
    <t>FGSD Admin Office Remodel</t>
  </si>
  <si>
    <t>School, TI</t>
  </si>
  <si>
    <t>Q-26-097</t>
  </si>
  <si>
    <t>04/02/2026</t>
  </si>
  <si>
    <t>OHSU CCB ITG &amp; Rev Cycle Relocation</t>
  </si>
  <si>
    <t>DD Bid. 12% Overhead contingency</t>
  </si>
  <si>
    <t>Q-26-098</t>
  </si>
  <si>
    <t>04/03/2026</t>
  </si>
  <si>
    <t>Willamette Falls</t>
  </si>
  <si>
    <t>Nuc Med &amp; Shelving</t>
  </si>
  <si>
    <t>Q-26-099</t>
  </si>
  <si>
    <t>04/04/2026</t>
  </si>
  <si>
    <t>LMHMC Suite 550</t>
  </si>
  <si>
    <t>Pending</t>
  </si>
  <si>
    <t>Q-26-100</t>
  </si>
  <si>
    <t>04/05/2026</t>
  </si>
  <si>
    <t>Windermere Oak Shelves</t>
  </si>
  <si>
    <t>April</t>
  </si>
  <si>
    <t>Q-26-102</t>
  </si>
  <si>
    <t>Robinson Construction</t>
  </si>
  <si>
    <t>Ridgefield Community Center</t>
  </si>
  <si>
    <t>https://securecc.smartinsight.co/#/PublicBidProject/846100</t>
  </si>
  <si>
    <t>Q-26-103</t>
  </si>
  <si>
    <t xml:space="preserve">LEMC Pulmonary </t>
  </si>
  <si>
    <t>Q-26-104</t>
  </si>
  <si>
    <t>HMC Healthplace Ortho &amp; Rehab</t>
  </si>
  <si>
    <t>Q-26-105</t>
  </si>
  <si>
    <t>Bling Dental Lab &amp; PLAM Repairs</t>
  </si>
  <si>
    <t>Q-26-106</t>
  </si>
  <si>
    <t>OSU HCIC ASI 22</t>
  </si>
  <si>
    <t>Q-26-107</t>
  </si>
  <si>
    <t>Q-26-108</t>
  </si>
  <si>
    <t>Bremik</t>
  </si>
  <si>
    <t>Gray Courthouse Improvements</t>
  </si>
  <si>
    <t>Declined</t>
  </si>
  <si>
    <t>Q-26-109</t>
  </si>
  <si>
    <t>Skyward Construction</t>
  </si>
  <si>
    <t>OBH Express Care Clinic</t>
  </si>
  <si>
    <t>Q-26-110</t>
  </si>
  <si>
    <t>Five Below</t>
  </si>
  <si>
    <t>No Bid</t>
  </si>
  <si>
    <t>Q-26-111</t>
  </si>
  <si>
    <t>Lease Crutcher Lewis</t>
  </si>
  <si>
    <t>Finn Partners TI- Bend</t>
  </si>
  <si>
    <t>04/06/2026</t>
  </si>
  <si>
    <t>Q-26-112</t>
  </si>
  <si>
    <t>EyeHealth NW- Lake Oswego</t>
  </si>
  <si>
    <t>TI, Commercial, Healthcare</t>
  </si>
  <si>
    <t>Q-26-113</t>
  </si>
  <si>
    <t xml:space="preserve">Hakes </t>
  </si>
  <si>
    <t>WFG-Coldwell Banker</t>
  </si>
  <si>
    <t>Q-26-114</t>
  </si>
  <si>
    <t>Q-26-115</t>
  </si>
  <si>
    <t>Goodwill Silverton</t>
  </si>
  <si>
    <t>Q-26-116</t>
  </si>
  <si>
    <t>Q-26-117</t>
  </si>
  <si>
    <t>Los Pepes / Senior Taps</t>
  </si>
  <si>
    <t>Q-26-118</t>
  </si>
  <si>
    <t>Cameron's Chok Dee Contracting</t>
  </si>
  <si>
    <t>Park Towers 1 Suite 120 Repairs</t>
  </si>
  <si>
    <t>Q-26-119</t>
  </si>
  <si>
    <t>Archie's Playground</t>
  </si>
  <si>
    <t>Dental, TI</t>
  </si>
  <si>
    <t>Updated 4/16/26</t>
  </si>
  <si>
    <t>Q-26-120</t>
  </si>
  <si>
    <t xml:space="preserve">NW Windermere- CD Set </t>
  </si>
  <si>
    <t>Q-26-121</t>
  </si>
  <si>
    <t>Dr Saito</t>
  </si>
  <si>
    <t>DD</t>
  </si>
  <si>
    <t>TI</t>
  </si>
  <si>
    <t>Q-26-122</t>
  </si>
  <si>
    <t>Dr Leung</t>
  </si>
  <si>
    <t>Q-26-123</t>
  </si>
  <si>
    <t>Park Towers 5 Suite 110</t>
  </si>
  <si>
    <t>Q-26-124</t>
  </si>
  <si>
    <t xml:space="preserve">Lorentz Bruun </t>
  </si>
  <si>
    <t>OR State Credit Union TI (Cedar Mill)</t>
  </si>
  <si>
    <t>Q-26-125</t>
  </si>
  <si>
    <t>Vancouver Office TI</t>
  </si>
  <si>
    <t>Q-26-126</t>
  </si>
  <si>
    <t>Peacehealth Longviewk</t>
  </si>
  <si>
    <t>OR Countertop Overlay</t>
  </si>
  <si>
    <t>Q-26-127</t>
  </si>
  <si>
    <t>ACU 7 Desks/BHU 3rd Floor</t>
  </si>
  <si>
    <t>Options</t>
  </si>
  <si>
    <t>Q-26-128</t>
  </si>
  <si>
    <t>Peacehealth Longview</t>
  </si>
  <si>
    <t>E.D. Lounge</t>
  </si>
  <si>
    <t>Q-26-129</t>
  </si>
  <si>
    <t>E.D. Admitting</t>
  </si>
  <si>
    <t>Q-26-130</t>
  </si>
  <si>
    <t>Park Tower 3 Suite #220</t>
  </si>
  <si>
    <t>Q-26-131</t>
  </si>
  <si>
    <t>PeaceHealth Longview</t>
  </si>
  <si>
    <t>Breakroom Countertop -Rm B68-02-2244</t>
  </si>
  <si>
    <t>Q-26-132</t>
  </si>
  <si>
    <t>ACU Admitting- New Corian Overlay &amp; Repair Self Edge</t>
  </si>
  <si>
    <t>Q-26-133</t>
  </si>
  <si>
    <t>Providence Milwaukie</t>
  </si>
  <si>
    <t>Behavioral Health- Cabs &amp; CT Remodel</t>
  </si>
  <si>
    <t>Q-26-134</t>
  </si>
  <si>
    <t>LH GS Path Lab Remodel</t>
  </si>
  <si>
    <t>SD</t>
  </si>
  <si>
    <t>Q-26-135</t>
  </si>
  <si>
    <t>Thad Metzger</t>
  </si>
  <si>
    <t>Daimlers Clinic</t>
  </si>
  <si>
    <t>Q-26-136</t>
  </si>
  <si>
    <t>PTAdd #170</t>
  </si>
  <si>
    <t>Q-26-137</t>
  </si>
  <si>
    <t>Q-26-138</t>
  </si>
  <si>
    <t>Q-26-139</t>
  </si>
  <si>
    <t>May</t>
  </si>
  <si>
    <t>Q-26-</t>
  </si>
  <si>
    <t>Perlo</t>
  </si>
  <si>
    <t>MCPB MRI Replacement</t>
  </si>
  <si>
    <t>June</t>
  </si>
  <si>
    <t>July</t>
  </si>
  <si>
    <t>August</t>
  </si>
  <si>
    <t>September</t>
  </si>
  <si>
    <t>Q-25-003</t>
  </si>
  <si>
    <t>Forest Grove HS Renovations</t>
  </si>
  <si>
    <t>05/15/2025</t>
  </si>
  <si>
    <t>Q-25-004</t>
  </si>
  <si>
    <t>UO Acoustic Research Lab</t>
  </si>
  <si>
    <t>05/21/2015</t>
  </si>
  <si>
    <t>Q-25-005</t>
  </si>
  <si>
    <t>Coldwell Banker Bain Lake Oswego</t>
  </si>
  <si>
    <t>05/14/2025</t>
  </si>
  <si>
    <t>Opt #1 $7649 / Opt #2 5367</t>
  </si>
  <si>
    <t>Q-25-006</t>
  </si>
  <si>
    <t>ZoomCare Progress Ridge</t>
  </si>
  <si>
    <t>05/16/2025</t>
  </si>
  <si>
    <t>Q-25-007</t>
  </si>
  <si>
    <t>Cornice</t>
  </si>
  <si>
    <t>Harmony BLD1 &amp;  2- Spec TI</t>
  </si>
  <si>
    <t>05/23/2025</t>
  </si>
  <si>
    <t>$1000 high</t>
  </si>
  <si>
    <t>No</t>
  </si>
  <si>
    <t>Q-25-008</t>
  </si>
  <si>
    <t xml:space="preserve">Therapeutic Associates 3 Room </t>
  </si>
  <si>
    <t>Sent Budget for Qtz (quod minui) &amp; P-lam Deduct 5.15.25</t>
  </si>
  <si>
    <t>Q-25-009</t>
  </si>
  <si>
    <t>Legacy Salmon Creek CT Replacement</t>
  </si>
  <si>
    <t>05/29/2025</t>
  </si>
  <si>
    <t>Healthcare, Hospital</t>
  </si>
  <si>
    <t>Q-25-011</t>
  </si>
  <si>
    <t>PeaceHealth CMP Urology Renovation</t>
  </si>
  <si>
    <t>06/24/2024</t>
  </si>
  <si>
    <t>06/04/2025</t>
  </si>
  <si>
    <t>https://www.zztakeoff.com/app/takeoff?projectId=GamthffsBwLTgtDHo&amp;pageId=iSohJaS4iSpkATZRJ , https://mylewis-my.sharepoint.com/personal/kagan_reardon_lewisbuilds_com/_layouts/15/onedrive.aspx?id=%2Fpersonal%2Fkagan%5Freardon%5Flewisbuilds%5Fcom%2FDocuments%2FDocuments%2F%5FPC25029%20%2D%20PEAC%20CMP%20UROLOGY%2FPC25029%20PEAC%20CMP%20UROLOGY%20%2D%20Drawings&amp;ga=1</t>
  </si>
  <si>
    <t>Alt Accepted</t>
  </si>
  <si>
    <t>Yes</t>
  </si>
  <si>
    <t>Q-25-012</t>
  </si>
  <si>
    <t>Kaiser IRT HDR &amp; CT Procedure Suite Expansion</t>
  </si>
  <si>
    <t>06/02/2024</t>
  </si>
  <si>
    <t>06/02/2025</t>
  </si>
  <si>
    <t>Q-25-013</t>
  </si>
  <si>
    <t>Legacy Emanuel Apothecary</t>
  </si>
  <si>
    <t>Q-25-014</t>
  </si>
  <si>
    <t xml:space="preserve">Willowbrook Vet </t>
  </si>
  <si>
    <t>06/10/2025</t>
  </si>
  <si>
    <t>Vet</t>
  </si>
  <si>
    <t>Q-25-015</t>
  </si>
  <si>
    <t>Beem Light Sauna- Install Only</t>
  </si>
  <si>
    <t>Install Only</t>
  </si>
  <si>
    <t>TI, Healthcare</t>
  </si>
  <si>
    <t>09/19/2025</t>
  </si>
  <si>
    <t>Q-25-016</t>
  </si>
  <si>
    <t>Schaffran</t>
  </si>
  <si>
    <t>PPMC Restroom Counters</t>
  </si>
  <si>
    <t>06/01/2025</t>
  </si>
  <si>
    <t>Q-25-017</t>
  </si>
  <si>
    <t>PPMC Day Room Ice Machine</t>
  </si>
  <si>
    <t>Q-25-018</t>
  </si>
  <si>
    <t>PPMC Control Room Desk</t>
  </si>
  <si>
    <t>Q-25-019</t>
  </si>
  <si>
    <t>Legacy Salmon Creek MOB 2-Cardio</t>
  </si>
  <si>
    <t>06/27/2025</t>
  </si>
  <si>
    <t>https://app.buildingconnected.com/opportunities/683a24fe1ed47200532f624c/files</t>
  </si>
  <si>
    <t>Q-25-020</t>
  </si>
  <si>
    <t>Cameron Chok-Dee</t>
  </si>
  <si>
    <t>Oregon State Bar</t>
  </si>
  <si>
    <t>06/06/2025</t>
  </si>
  <si>
    <t>Q-25-021</t>
  </si>
  <si>
    <t>Pacific BLDG TI</t>
  </si>
  <si>
    <t>06/06/2002</t>
  </si>
  <si>
    <t>Q-25-022</t>
  </si>
  <si>
    <t>TV Camas- Phase 2 Budget</t>
  </si>
  <si>
    <t>06/17/2025</t>
  </si>
  <si>
    <t>Q-25-023</t>
  </si>
  <si>
    <t>LSCMC</t>
  </si>
  <si>
    <t>Family Birth Suite 407</t>
  </si>
  <si>
    <t>06/18/2025</t>
  </si>
  <si>
    <t>Install 8/27/25</t>
  </si>
  <si>
    <t>Q-25-024</t>
  </si>
  <si>
    <t>NWN PLNG Cabinets</t>
  </si>
  <si>
    <t>06/09/2025</t>
  </si>
  <si>
    <t>Q-25-025</t>
  </si>
  <si>
    <t>Providence PPP Ste 118</t>
  </si>
  <si>
    <t>06/25/2025</t>
  </si>
  <si>
    <t>Q-25-026</t>
  </si>
  <si>
    <t>HMC Cath Lab 2</t>
  </si>
  <si>
    <t>06/19/2025</t>
  </si>
  <si>
    <t>06/26/2025</t>
  </si>
  <si>
    <t>Q-25-027</t>
  </si>
  <si>
    <t>OHSU School of Nursing 550 Classroom</t>
  </si>
  <si>
    <t>06/20/2025</t>
  </si>
  <si>
    <t>Q-25-028</t>
  </si>
  <si>
    <t>Q-25-030</t>
  </si>
  <si>
    <t>Built Environments NW</t>
  </si>
  <si>
    <t>Elephant's Deli-Supply/Install CT</t>
  </si>
  <si>
    <t>07/02/2015</t>
  </si>
  <si>
    <t>07/03/2025</t>
  </si>
  <si>
    <t>Q-25-031</t>
  </si>
  <si>
    <t>Pacific Premier Group</t>
  </si>
  <si>
    <t>Fix and Move Reception Desk</t>
  </si>
  <si>
    <t>07/09/2025</t>
  </si>
  <si>
    <t>Q-25-032</t>
  </si>
  <si>
    <t>07/01/2025</t>
  </si>
  <si>
    <t>Eagle Industrial Equip. Warehouse</t>
  </si>
  <si>
    <t>07/07/2025</t>
  </si>
  <si>
    <t>Other</t>
  </si>
  <si>
    <t>Q-25-033</t>
  </si>
  <si>
    <t>07/02/2025</t>
  </si>
  <si>
    <t>Centrex</t>
  </si>
  <si>
    <t>Hangar Golf West Kitchen TI</t>
  </si>
  <si>
    <t>06/24/2025</t>
  </si>
  <si>
    <t>8/7 Follow up- Waiting on Client approval</t>
  </si>
  <si>
    <t>Q-25-034</t>
  </si>
  <si>
    <t>Hangar Golf West RR TI</t>
  </si>
  <si>
    <t>07/05/2025</t>
  </si>
  <si>
    <t>Q-25-035</t>
  </si>
  <si>
    <t>Twin Oaks Plaza 101 Kitchenette</t>
  </si>
  <si>
    <t>06/28/2025</t>
  </si>
  <si>
    <t>Q-25-036</t>
  </si>
  <si>
    <t>07/11/2025</t>
  </si>
  <si>
    <t>JH Kelly</t>
  </si>
  <si>
    <t>OCC Microwave Shelf</t>
  </si>
  <si>
    <t>Q-25-037</t>
  </si>
  <si>
    <t>07/08/2025</t>
  </si>
  <si>
    <t>Vancouver VA Dental</t>
  </si>
  <si>
    <t>Hard Bid (Fab Only)</t>
  </si>
  <si>
    <t>07/10/2025</t>
  </si>
  <si>
    <t>Healthcare, Dental, Renovation</t>
  </si>
  <si>
    <t>https://www.zztakeoff.com/app/takeoff?projectId=jmXtHDuNymN3cbeYh&amp;pageId=i4kKnRGfeYNcBEaoG</t>
  </si>
  <si>
    <t>Supply Only Bid</t>
  </si>
  <si>
    <t>Q-25-038</t>
  </si>
  <si>
    <t>OSM Phase 2- Add Counter Storage Nook</t>
  </si>
  <si>
    <t>07/15/2025</t>
  </si>
  <si>
    <t>07/14/2025</t>
  </si>
  <si>
    <t>Q-25-039</t>
  </si>
  <si>
    <t>Head and Neck Lovejoy</t>
  </si>
  <si>
    <t>ROM</t>
  </si>
  <si>
    <t>https://www.zztakeoff.com/app/takeoff?projectId=hF8wHqMRTvXPCZCdM&amp;pageId=Tojp3g3JEJ7aamMKc</t>
  </si>
  <si>
    <t>Q-25-040</t>
  </si>
  <si>
    <t>R&amp;H Construction</t>
  </si>
  <si>
    <t>KPFF-Vancouver TI</t>
  </si>
  <si>
    <t>07/16/2025</t>
  </si>
  <si>
    <t>https://app.buildingconnected.com/opportunities/6862f5b51391b3009e9815c0/files</t>
  </si>
  <si>
    <t>Q-25-041</t>
  </si>
  <si>
    <t xml:space="preserve">Design+Build </t>
  </si>
  <si>
    <t>NW Urology Tualatin</t>
  </si>
  <si>
    <t>https://app.buildingconnected.com/opportunities/6855e8d221009500372d4fd0/files</t>
  </si>
  <si>
    <t>Q-25-042</t>
  </si>
  <si>
    <t>Swinerton</t>
  </si>
  <si>
    <t>Alaska Air-PDX Maintenance Hangar</t>
  </si>
  <si>
    <t>https://www.zztakeoff.com/app/takeoff?projectId=W4nEc8MKFEFSnquMu&amp;pageId=uyhDWHkFp7dvtFcE2</t>
  </si>
  <si>
    <t>Q-25-043</t>
  </si>
  <si>
    <t>Viking E+C</t>
  </si>
  <si>
    <t>LEMC Mob 2 2nd Fl Peds OS</t>
  </si>
  <si>
    <t>Hospital, Renovation, Healthcare</t>
  </si>
  <si>
    <t>https://www.odrive.com/s/7ee37718-bca0-4e23-b8b2-93dbcfd454d3-68667633</t>
  </si>
  <si>
    <t>Add/Alt Pricing: Off Hrs Install</t>
  </si>
  <si>
    <t>Q-25-044</t>
  </si>
  <si>
    <t>Re-PriceLegacy Salmon Creek MOB 2-Cardio</t>
  </si>
  <si>
    <t>Q-25-045</t>
  </si>
  <si>
    <t>Skanska</t>
  </si>
  <si>
    <t>Redmond Municipal Airport ???</t>
  </si>
  <si>
    <t>07/17/2025</t>
  </si>
  <si>
    <t>Q-25-046</t>
  </si>
  <si>
    <t>Chicago Title TI</t>
  </si>
  <si>
    <t>07/21/2025</t>
  </si>
  <si>
    <t>https://www.zztakeoff.com/app/takeoff?projectId=vxgpefthkQw3nrFFQ&amp;pageId=CmyFEPEA5J5L5SCDz</t>
  </si>
  <si>
    <t>Q-25-047</t>
  </si>
  <si>
    <t>Centerpointe Drive Ste 410</t>
  </si>
  <si>
    <t>07/22/2025</t>
  </si>
  <si>
    <t>https://www.zztakeoff.com/app/takeoff?projectId=6knvku4BbC5j3ySY6&amp;pageId=8W3C5jBT48XiNZ6ie</t>
  </si>
  <si>
    <t>Q-25-048</t>
  </si>
  <si>
    <t>Centerpointe Drive Ste 430</t>
  </si>
  <si>
    <t>07/23/2025</t>
  </si>
  <si>
    <t>Q-25-049</t>
  </si>
  <si>
    <t>Centerpointe Drive Ste 580</t>
  </si>
  <si>
    <t>07/24/2025</t>
  </si>
  <si>
    <t>Q-25-050</t>
  </si>
  <si>
    <t>DD&amp;C</t>
  </si>
  <si>
    <t>Q-25-051</t>
  </si>
  <si>
    <t>07/25/2025</t>
  </si>
  <si>
    <t>TVC CAMAS- SSM ALT</t>
  </si>
  <si>
    <t>07/28/2025</t>
  </si>
  <si>
    <t>Q-25-052</t>
  </si>
  <si>
    <t>Stones Family Dental</t>
  </si>
  <si>
    <t>07/29/2025</t>
  </si>
  <si>
    <t>https://www.zztakeoff.com/app/takeoff?projectId=pAcEkQCBdfXP7RiwS&amp;reportViewId=defaultMeasurementsGroupedByTakeoff&amp;pageId=8ksGboqL3CucxJvRB</t>
  </si>
  <si>
    <t>Q-25-053</t>
  </si>
  <si>
    <t>JDL General Contractin</t>
  </si>
  <si>
    <t>Terrain Coffee Shop</t>
  </si>
  <si>
    <t>07/30/2025</t>
  </si>
  <si>
    <t>Never Responded to materials RFI</t>
  </si>
  <si>
    <t>Q-25-054</t>
  </si>
  <si>
    <t>HMC Ste 5300 Cardio/Vasc/Echo</t>
  </si>
  <si>
    <t xml:space="preserve">TBD </t>
  </si>
  <si>
    <t>https://andersencloud.egnyte.com/fl/3WfXGtgxbVpG</t>
  </si>
  <si>
    <t>Servo Pricing from Dave in Emails</t>
  </si>
  <si>
    <t>Q-25-056</t>
  </si>
  <si>
    <t>Aldrich</t>
  </si>
  <si>
    <t>Salem Vet Clinic</t>
  </si>
  <si>
    <t>08/01/2025</t>
  </si>
  <si>
    <t>https://www.zztakeoff.com/app/takeoff?projectId=5BDb8zvbrhkbbfjjh&amp;pageId=7gkvhqdXzLHxbELHg</t>
  </si>
  <si>
    <t>Add/Alts: Several in email chain</t>
  </si>
  <si>
    <t>Q-25-057</t>
  </si>
  <si>
    <t>08/02/2025</t>
  </si>
  <si>
    <t>Q-25-058</t>
  </si>
  <si>
    <t xml:space="preserve">75% DD </t>
  </si>
  <si>
    <t>Q-25-059</t>
  </si>
  <si>
    <t>Kaiser AWL Core Line</t>
  </si>
  <si>
    <t>08/04/2025</t>
  </si>
  <si>
    <t>https://www.zztakeoff.com/app/takeoff?projectId=d3ohf3ZDNjo3re4vX&amp;pageId=cDL8f3TwoGcJCwHhD</t>
  </si>
  <si>
    <t>Q-25-060</t>
  </si>
  <si>
    <t>Good Shepherd - Supply ONLY</t>
  </si>
  <si>
    <t>08/05/2025</t>
  </si>
  <si>
    <t>Add/ALT P-Lam Window Sills- $2460</t>
  </si>
  <si>
    <t>Q-25-061</t>
  </si>
  <si>
    <t>One Financial 16th &amp; 18th Floor TI</t>
  </si>
  <si>
    <t>https://www.zztakeoff.com/app/takeoff?projectId=wqpz28NZuwvj2KzJK&amp;pageId=hnMwxoaptw8uYzmqb</t>
  </si>
  <si>
    <t>Q-25-062</t>
  </si>
  <si>
    <t>PT #210</t>
  </si>
  <si>
    <t>08/06/2025</t>
  </si>
  <si>
    <t>Commercial, Renovation, TI</t>
  </si>
  <si>
    <t>No plan set</t>
  </si>
  <si>
    <t>Q-25-063</t>
  </si>
  <si>
    <t>Legacy MOB</t>
  </si>
  <si>
    <t>08/07/2025</t>
  </si>
  <si>
    <t>Q-25-064</t>
  </si>
  <si>
    <t>POIC/RAAP Sunshine Campus</t>
  </si>
  <si>
    <t>08/08/2025</t>
  </si>
  <si>
    <t>8/19- Updated Assumptions per Phoenix email</t>
  </si>
  <si>
    <t>Q-25-065</t>
  </si>
  <si>
    <t>CIC Change from lino to P-Lam</t>
  </si>
  <si>
    <t>08/11/2025</t>
  </si>
  <si>
    <t>TI, School</t>
  </si>
  <si>
    <t>Q-25-066</t>
  </si>
  <si>
    <t xml:space="preserve">PeaceHealth </t>
  </si>
  <si>
    <t>PeaceHealth Vancouver Coffee Bar</t>
  </si>
  <si>
    <t>Q-25-067</t>
  </si>
  <si>
    <t>08/12/2025</t>
  </si>
  <si>
    <t>RCM Room 2878</t>
  </si>
  <si>
    <t>Q-25-068</t>
  </si>
  <si>
    <t>Providence St Vincent CVL 4</t>
  </si>
  <si>
    <t>Hospital, Healthcare, Renovation</t>
  </si>
  <si>
    <t>https://andersencloud.egnyte.com/fl/wJYk3qrr33kP</t>
  </si>
  <si>
    <t>Q-25-069</t>
  </si>
  <si>
    <t>07/12/2025</t>
  </si>
  <si>
    <t>Therapeutic Associates Misty Drive</t>
  </si>
  <si>
    <t>08/13/2025</t>
  </si>
  <si>
    <t>Q-25-070</t>
  </si>
  <si>
    <t>Willamette Falls MC</t>
  </si>
  <si>
    <t>Pediatric Sink Surrounds</t>
  </si>
  <si>
    <t>Q-25-071</t>
  </si>
  <si>
    <t>07/31/2025</t>
  </si>
  <si>
    <t>Good Shepherd</t>
  </si>
  <si>
    <t>Healthcare, Hospital, TI</t>
  </si>
  <si>
    <t>Q-25-072</t>
  </si>
  <si>
    <t>TOC Path Lab Option A</t>
  </si>
  <si>
    <t>08/14/2025</t>
  </si>
  <si>
    <t>Add/Alt- $3582 for SS Floating CT</t>
  </si>
  <si>
    <t>Q-25-073</t>
  </si>
  <si>
    <t>Zoom Care Mill Plain</t>
  </si>
  <si>
    <t>08/18/2025</t>
  </si>
  <si>
    <t>Q-25-074</t>
  </si>
  <si>
    <t>08/20/2025</t>
  </si>
  <si>
    <t>file:///C:/Users/evan/Downloads/HMC%20-%207th%20Ave-%20Medical%20Plaza%20Suite%205300%20TI%2008-01-2025%20Conformed%20set.pdf</t>
  </si>
  <si>
    <t>Q-25-075</t>
  </si>
  <si>
    <t>08/19/2025</t>
  </si>
  <si>
    <t>TV Camas- Phase 2</t>
  </si>
  <si>
    <t>08/21/2025</t>
  </si>
  <si>
    <t>75% CD</t>
  </si>
  <si>
    <t>Q-25-076</t>
  </si>
  <si>
    <t>08/17/2025</t>
  </si>
  <si>
    <t>205 Business Center- Kitchenette TI</t>
  </si>
  <si>
    <t>Q-25-077</t>
  </si>
  <si>
    <t>T.J. Nisbet</t>
  </si>
  <si>
    <t>T.J. Nisbet Construction Office</t>
  </si>
  <si>
    <t>Q-25-078</t>
  </si>
  <si>
    <t>R &amp; H Construction</t>
  </si>
  <si>
    <t>08/22/2025</t>
  </si>
  <si>
    <t>Q-25-079</t>
  </si>
  <si>
    <t>Pacific BLDG TI - Suite 1012</t>
  </si>
  <si>
    <t>Q-25-080</t>
  </si>
  <si>
    <t>08/25/2025</t>
  </si>
  <si>
    <t>Q-25-081</t>
  </si>
  <si>
    <t>Lorentz Bruun</t>
  </si>
  <si>
    <t>Oregon State Credit Union Remodel</t>
  </si>
  <si>
    <t>https://www.lbruun.com/subcontractor/projects-bidding/oregon-state-credit-union-remodel---project-currently-bidding/</t>
  </si>
  <si>
    <t>Q-25-082</t>
  </si>
  <si>
    <t xml:space="preserve"> </t>
  </si>
  <si>
    <t>P&amp;C Construction</t>
  </si>
  <si>
    <t>Hillcrest Behavioral Health Campus</t>
  </si>
  <si>
    <t>08/26/2025</t>
  </si>
  <si>
    <t>Q-25-083</t>
  </si>
  <si>
    <t>08/15/2025</t>
  </si>
  <si>
    <t>HMC Suite 5200</t>
  </si>
  <si>
    <t>Q-25-084</t>
  </si>
  <si>
    <t>08/24/2025</t>
  </si>
  <si>
    <t>Coldwell Banker Lake Oswego OPT 4</t>
  </si>
  <si>
    <t>Q-25-085</t>
  </si>
  <si>
    <t>Kramer Construction</t>
  </si>
  <si>
    <t>Urban Air Adventure Park</t>
  </si>
  <si>
    <t>08/27/2025</t>
  </si>
  <si>
    <t>Q-25-086</t>
  </si>
  <si>
    <t>Marion County Health Building Remodel</t>
  </si>
  <si>
    <t>08/28/2025</t>
  </si>
  <si>
    <t>Q-25-087</t>
  </si>
  <si>
    <t>08/29/2025</t>
  </si>
  <si>
    <t>8/19- 95% CD released- No change to scope</t>
  </si>
  <si>
    <t>Q-25-089</t>
  </si>
  <si>
    <t>Springfield Quad Remodel</t>
  </si>
  <si>
    <t>09/02/2025</t>
  </si>
  <si>
    <t>50% DD</t>
  </si>
  <si>
    <t>Q-25-090</t>
  </si>
  <si>
    <t>Park Tower 2 Ste 190</t>
  </si>
  <si>
    <t>09/03/2025</t>
  </si>
  <si>
    <t>Q-25-091</t>
  </si>
  <si>
    <t>2321 Sunset Drive</t>
  </si>
  <si>
    <t>Q-25-092</t>
  </si>
  <si>
    <t>Built Environments</t>
  </si>
  <si>
    <t>Centerpointe Drive</t>
  </si>
  <si>
    <t>09/09/2025</t>
  </si>
  <si>
    <t>Q-25-093</t>
  </si>
  <si>
    <t>Center for Deaf &amp; Hard of Hearing</t>
  </si>
  <si>
    <t>09/08/2025</t>
  </si>
  <si>
    <t>Q-25-094</t>
  </si>
  <si>
    <t>09/01/2025</t>
  </si>
  <si>
    <t>Milestone</t>
  </si>
  <si>
    <t>Q-25-095</t>
  </si>
  <si>
    <t>Triplett Wellman</t>
  </si>
  <si>
    <t>Q-25-096</t>
  </si>
  <si>
    <t>09/12/2025</t>
  </si>
  <si>
    <t>Q-25-097</t>
  </si>
  <si>
    <t>Charles Schwab Slabtown TI</t>
  </si>
  <si>
    <t>09/22/2025</t>
  </si>
  <si>
    <t>Q-25-098</t>
  </si>
  <si>
    <t>James E John</t>
  </si>
  <si>
    <t>09/24/2025</t>
  </si>
  <si>
    <t>Q-25-099</t>
  </si>
  <si>
    <t>09/10/2025</t>
  </si>
  <si>
    <t>Corvallis Parks Maintenance Facilities</t>
  </si>
  <si>
    <t>09/16/2025</t>
  </si>
  <si>
    <t>Q-25-100</t>
  </si>
  <si>
    <t>Ed Jones TI</t>
  </si>
  <si>
    <t>Q-25-101</t>
  </si>
  <si>
    <t>09/18/2025</t>
  </si>
  <si>
    <t>Q-25-102</t>
  </si>
  <si>
    <t>Redfern</t>
  </si>
  <si>
    <t>WMBA Dispatch Hall</t>
  </si>
  <si>
    <t>Q-25-103</t>
  </si>
  <si>
    <t>09/15/2025</t>
  </si>
  <si>
    <t>Geisler Oral Surgery</t>
  </si>
  <si>
    <t>09/17/2025</t>
  </si>
  <si>
    <t>Q-25-104</t>
  </si>
  <si>
    <t>09/23/2025</t>
  </si>
  <si>
    <t>https://andersencloud.egnyte.com/fl/dQ8Kw9KhHg8r</t>
  </si>
  <si>
    <t>Q-25-105</t>
  </si>
  <si>
    <t>LMG Ridgefield Buildout</t>
  </si>
  <si>
    <t>October</t>
  </si>
  <si>
    <t>Q-25-107</t>
  </si>
  <si>
    <t>10/06/2025</t>
  </si>
  <si>
    <t>Legacy Mt Hood</t>
  </si>
  <si>
    <t>Retro Fit Tack Panel - Updated Proposal</t>
  </si>
  <si>
    <t>Q-25-108</t>
  </si>
  <si>
    <t>Post Op 4th Floor Countertop Replacement</t>
  </si>
  <si>
    <t>Q-25-109</t>
  </si>
  <si>
    <t>10/07/2025</t>
  </si>
  <si>
    <t>Oregon Vascular Specialist Expansion</t>
  </si>
  <si>
    <t>10/06/2028</t>
  </si>
  <si>
    <t>https://www.zztakeoff.com/app/takeoff?projectId=72DQSipwWzALz7K7i&amp;pageId=HYr84TuZHLH9pmzBJ</t>
  </si>
  <si>
    <t>Q-25-110</t>
  </si>
  <si>
    <t>Providence St Vincent iMRI Replacement</t>
  </si>
  <si>
    <t>10/01/2025</t>
  </si>
  <si>
    <t>Q-25-111</t>
  </si>
  <si>
    <t>PCC CT Swing Spaces - SCB, TCB Classroom</t>
  </si>
  <si>
    <t>10/08/2025</t>
  </si>
  <si>
    <t>Q-25-112</t>
  </si>
  <si>
    <t>PPMC- Behavioral Health Office Remodel</t>
  </si>
  <si>
    <t>Q-25-113</t>
  </si>
  <si>
    <t>BCCM Construction</t>
  </si>
  <si>
    <t>Ivybrook Academy</t>
  </si>
  <si>
    <t>10/17/2025</t>
  </si>
  <si>
    <t>Q-25-114</t>
  </si>
  <si>
    <t>TVC Camas 100% CD</t>
  </si>
  <si>
    <t>10/15/2025</t>
  </si>
  <si>
    <t>Q-25-115</t>
  </si>
  <si>
    <t>Chase Bank University Park TI</t>
  </si>
  <si>
    <t>10/22/2025</t>
  </si>
  <si>
    <t>Q-25-116</t>
  </si>
  <si>
    <t>1321 Sink</t>
  </si>
  <si>
    <t>10/09/2025</t>
  </si>
  <si>
    <t>Q-25-117</t>
  </si>
  <si>
    <t>10/10/2025</t>
  </si>
  <si>
    <t>PeaceHealth SPEC CT Rolling Cart</t>
  </si>
  <si>
    <t>10/14/2025</t>
  </si>
  <si>
    <t>Q-25-118</t>
  </si>
  <si>
    <t>Oath- Gresham ASC</t>
  </si>
  <si>
    <t>10/27/2025</t>
  </si>
  <si>
    <t>10/28/2025</t>
  </si>
  <si>
    <t>Lots of Alts</t>
  </si>
  <si>
    <t>Q-25-119</t>
  </si>
  <si>
    <t>Deacon</t>
  </si>
  <si>
    <t>CBRE Liberty Tower TIs</t>
  </si>
  <si>
    <t>Q-25-120</t>
  </si>
  <si>
    <t>Rockwood Community Health</t>
  </si>
  <si>
    <t>Q-25-121</t>
  </si>
  <si>
    <t>Cedar Mill Construction</t>
  </si>
  <si>
    <t>10/30/2025</t>
  </si>
  <si>
    <t>Q-25-122</t>
  </si>
  <si>
    <t>10/20/2025</t>
  </si>
  <si>
    <t>Q-25-123</t>
  </si>
  <si>
    <t>Eye Health NW - Aloha Clinic</t>
  </si>
  <si>
    <t>Q-25-124</t>
  </si>
  <si>
    <t>Coldwell Banker-Final Option(dont bid again)</t>
  </si>
  <si>
    <t>Q-25-125</t>
  </si>
  <si>
    <t>Greenburg Pediatric Dentistry</t>
  </si>
  <si>
    <t>Q-25-126</t>
  </si>
  <si>
    <t>Powells</t>
  </si>
  <si>
    <t>Powells PDX</t>
  </si>
  <si>
    <t>10/24/2025</t>
  </si>
  <si>
    <t>10/21/2025</t>
  </si>
  <si>
    <t>Q-25-127</t>
  </si>
  <si>
    <t>ROC Orthopedic</t>
  </si>
  <si>
    <t>Q-25-128</t>
  </si>
  <si>
    <t>Sherwood High</t>
  </si>
  <si>
    <t>10/31/2005</t>
  </si>
  <si>
    <t>10/31/2025</t>
  </si>
  <si>
    <t>Q-25-129</t>
  </si>
  <si>
    <t>RHC- 701 Columbia Street</t>
  </si>
  <si>
    <t>November</t>
  </si>
  <si>
    <t>Q-25-131</t>
  </si>
  <si>
    <t>City Of Vancouver-Public Service Center 2nd Floor</t>
  </si>
  <si>
    <t>12/09/2025</t>
  </si>
  <si>
    <t>Q-25-132</t>
  </si>
  <si>
    <t>10/16/2025</t>
  </si>
  <si>
    <t xml:space="preserve">Chehalis Casino </t>
  </si>
  <si>
    <t>11/14/2025</t>
  </si>
  <si>
    <t>Q-25-133</t>
  </si>
  <si>
    <t>11/03/2025</t>
  </si>
  <si>
    <t>Troutdale WPFC Admin Remodel</t>
  </si>
  <si>
    <t>11/12/2025</t>
  </si>
  <si>
    <t>Q-25-134</t>
  </si>
  <si>
    <t>11/03/2024</t>
  </si>
  <si>
    <t>Eye Health NW- Admin Remodel</t>
  </si>
  <si>
    <t>Renovation, Healthcare</t>
  </si>
  <si>
    <t>Q-25-135</t>
  </si>
  <si>
    <t>Montgomery Park Ste 410</t>
  </si>
  <si>
    <t>11/11/2025</t>
  </si>
  <si>
    <t>Q-25-136</t>
  </si>
  <si>
    <t>11/06/2025</t>
  </si>
  <si>
    <t>Orchard Market Center</t>
  </si>
  <si>
    <t>11/10/2025</t>
  </si>
  <si>
    <t>Q-25-137</t>
  </si>
  <si>
    <t>Legacy Salmon Creek- CT 1 Replacement</t>
  </si>
  <si>
    <t>Q-25-138</t>
  </si>
  <si>
    <t>11/07/2025</t>
  </si>
  <si>
    <t>Q-25-139</t>
  </si>
  <si>
    <t>The Bible Project</t>
  </si>
  <si>
    <t>11/18/2025</t>
  </si>
  <si>
    <t>Q-25-140</t>
  </si>
  <si>
    <t>11/13/2025</t>
  </si>
  <si>
    <t>Hillsboro Airport- Countertop</t>
  </si>
  <si>
    <t>Q-25-141</t>
  </si>
  <si>
    <t>Oregon Restoration</t>
  </si>
  <si>
    <t>Courtyard @ Tabor</t>
  </si>
  <si>
    <t>Q-25-142</t>
  </si>
  <si>
    <t>Bend-Hilton</t>
  </si>
  <si>
    <t>Q-25-143</t>
  </si>
  <si>
    <t>Legacy Good Sam Path Cabs</t>
  </si>
  <si>
    <t>Q-25-144</t>
  </si>
  <si>
    <t>11/17/2025</t>
  </si>
  <si>
    <t>DW Sivers</t>
  </si>
  <si>
    <t>Airport Plaza Suite 205 Kitchen</t>
  </si>
  <si>
    <t>Q-25-145</t>
  </si>
  <si>
    <t>Lab Automation Countertop</t>
  </si>
  <si>
    <t>Q-25-146</t>
  </si>
  <si>
    <t>Legacy Good Sam Coffee Bar CT</t>
  </si>
  <si>
    <t>Q-25-147</t>
  </si>
  <si>
    <t>OHSU Doernbecher Childrens</t>
  </si>
  <si>
    <t>Q-25-148</t>
  </si>
  <si>
    <t xml:space="preserve">Legacy Ridgefield </t>
  </si>
  <si>
    <t>11/22/2025</t>
  </si>
  <si>
    <t>11/24/2025</t>
  </si>
  <si>
    <t>Q-25-149</t>
  </si>
  <si>
    <t>12/01/2025</t>
  </si>
  <si>
    <t>Q-25-150</t>
  </si>
  <si>
    <t>11/20/2025</t>
  </si>
  <si>
    <t>Center for Dermatology &amp; Laser Surgery</t>
  </si>
  <si>
    <t>Q-25-151</t>
  </si>
  <si>
    <t xml:space="preserve">PDX Juliett </t>
  </si>
  <si>
    <t>11/30/2025</t>
  </si>
  <si>
    <t>December</t>
  </si>
  <si>
    <t>Q-25-153</t>
  </si>
  <si>
    <t>Legacy Health BH Clinic</t>
  </si>
  <si>
    <t>12/03/2025</t>
  </si>
  <si>
    <t>12/04/2025</t>
  </si>
  <si>
    <t>Renovation, Hospital</t>
  </si>
  <si>
    <t>Legacy BH Clinic Proposal</t>
  </si>
  <si>
    <t>Went with our Number.</t>
  </si>
  <si>
    <t>Q-25-154</t>
  </si>
  <si>
    <t>11/25/2025</t>
  </si>
  <si>
    <t>TOC Path Lab Remodel</t>
  </si>
  <si>
    <t>12/12/2025</t>
  </si>
  <si>
    <t>12/15/2025</t>
  </si>
  <si>
    <t>Q-25-155</t>
  </si>
  <si>
    <t>St Charles Inpatient Rehab</t>
  </si>
  <si>
    <t>12/10/2025</t>
  </si>
  <si>
    <t>ACC_StCharles_InpatientRehab_Proposal Worksheet.pdf</t>
  </si>
  <si>
    <t>Q-25-156</t>
  </si>
  <si>
    <t>Lost</t>
  </si>
  <si>
    <t>Q-25-157</t>
  </si>
  <si>
    <t>12/08/2025</t>
  </si>
  <si>
    <t>Mortensen</t>
  </si>
  <si>
    <t>Q-25-158</t>
  </si>
  <si>
    <t>Capital Surgery Center</t>
  </si>
  <si>
    <t>12/16/2025</t>
  </si>
  <si>
    <t>Nor_CapSurgery_Budget12.25.pdf</t>
  </si>
  <si>
    <t>Q-25-159</t>
  </si>
  <si>
    <t>Abbott</t>
  </si>
  <si>
    <t>Graybar Electric Portland - New PWOR Branch</t>
  </si>
  <si>
    <t>12/19/2025</t>
  </si>
  <si>
    <t>12/18/2025</t>
  </si>
  <si>
    <t>Quartz Proposal from Jeremy</t>
  </si>
  <si>
    <t>Q-25-160</t>
  </si>
  <si>
    <t>PNMC X-Ray Replacement</t>
  </si>
  <si>
    <t>12/02/2025</t>
  </si>
  <si>
    <t>Q-25-161</t>
  </si>
  <si>
    <t>Renovation, TI, Commercial</t>
  </si>
  <si>
    <t>Q-25-162</t>
  </si>
  <si>
    <t>Providence</t>
  </si>
  <si>
    <t>Providence Seaside</t>
  </si>
  <si>
    <t>Q-25-163</t>
  </si>
  <si>
    <t>12/11/2025</t>
  </si>
  <si>
    <t>Q-25-164</t>
  </si>
  <si>
    <t>12/24/2025</t>
  </si>
  <si>
    <t>Q-25-165</t>
  </si>
  <si>
    <t>Ice Maker Cabinet</t>
  </si>
  <si>
    <t>Q-25-166</t>
  </si>
  <si>
    <t>4th Ave Homes</t>
  </si>
  <si>
    <t>PCC Remodel Phase 2</t>
  </si>
  <si>
    <t>Q-25-167</t>
  </si>
  <si>
    <t xml:space="preserve">Legacy Unity ECT 4th Floor </t>
  </si>
  <si>
    <t>Q-25-168</t>
  </si>
  <si>
    <t>Providence Newberg MOB</t>
  </si>
  <si>
    <t>12/22/2025</t>
  </si>
  <si>
    <t>Q-25-169</t>
  </si>
  <si>
    <t>Emmanuel RCH 5827</t>
  </si>
  <si>
    <t>Q-25-170</t>
  </si>
  <si>
    <t>St Andrew Lutheran Church</t>
  </si>
  <si>
    <t>https://formstructure-my.sharepoint.com/:x:/g/personal/evan_formandstructure_net/IQAosg000aUpTIWx-ymVxHiaAeIGP14v6TCosciPf5EGIUA?e=cz3gtf</t>
  </si>
  <si>
    <t>Q-25-171</t>
  </si>
  <si>
    <t>Legacy Salmon Creek-OBS</t>
  </si>
  <si>
    <t>Q-25-172</t>
  </si>
  <si>
    <t>PPMC 5R Bariatric RR &amp; Shower</t>
  </si>
  <si>
    <t>Q-25-173</t>
  </si>
  <si>
    <t>Charles Schwab LO TI</t>
  </si>
  <si>
    <t>01/02/2026</t>
  </si>
  <si>
    <t>Deacon_SchwabLO_Proposal12.25.pdf</t>
  </si>
  <si>
    <t>Q-25-174</t>
  </si>
  <si>
    <t>Providence Newberg- Womens Health Expansion</t>
  </si>
  <si>
    <t>01/05/2026</t>
  </si>
  <si>
    <t>Q-25-175</t>
  </si>
  <si>
    <t>PRoviidence WF</t>
  </si>
  <si>
    <t>Providence Willammette Falls- Ped Sink Surround</t>
  </si>
  <si>
    <t>Hospital, TI</t>
  </si>
  <si>
    <t>Q-25-176</t>
  </si>
  <si>
    <t>Charles Schwab Lake Oswego TI</t>
  </si>
  <si>
    <t>Q-25-177</t>
  </si>
  <si>
    <t>JE John</t>
  </si>
  <si>
    <t>12/29/2025</t>
  </si>
  <si>
    <t>12/17/2025</t>
  </si>
  <si>
    <t>Q-25-178</t>
  </si>
  <si>
    <t>Legacy Good Sam Mob 3 NW Gastro</t>
  </si>
  <si>
    <t>Q-25-179</t>
  </si>
  <si>
    <t>R&amp;H</t>
  </si>
  <si>
    <t>Trillium- Phase 2</t>
  </si>
  <si>
    <t>01/06/2026</t>
  </si>
  <si>
    <t>Q-25-180</t>
  </si>
  <si>
    <t>Q-25-181</t>
  </si>
  <si>
    <t>Good Sam Urology Mob 1</t>
  </si>
  <si>
    <t>Viking_GoodSamUro_Budget12.25.pdf</t>
  </si>
  <si>
    <t>Q-25-182</t>
  </si>
  <si>
    <t>Campbell Global-JPMC Conversion</t>
  </si>
  <si>
    <t>12/30/2025</t>
  </si>
  <si>
    <t>Q-25-183</t>
  </si>
  <si>
    <t>01/07/2026</t>
  </si>
  <si>
    <t>Q-25-184</t>
  </si>
  <si>
    <t>NW Eye Clinic- Lake Oswego</t>
  </si>
  <si>
    <t>Q-25-185</t>
  </si>
  <si>
    <t>Go To Ortho</t>
  </si>
  <si>
    <t>Q-25-186</t>
  </si>
  <si>
    <t>Bridgeport Service Request</t>
  </si>
  <si>
    <t>Q-25-187</t>
  </si>
  <si>
    <t>Park Tower 2 Ste 170</t>
  </si>
  <si>
    <t>Q-25-188</t>
  </si>
  <si>
    <t>Oak Grove Therapeutic Associates</t>
  </si>
  <si>
    <t>Job #</t>
  </si>
  <si>
    <t>PM</t>
  </si>
  <si>
    <t>Project</t>
  </si>
  <si>
    <t>Contract ($)</t>
  </si>
  <si>
    <t>Appvd COs ($)</t>
  </si>
  <si>
    <t>Curr. Contract ($)</t>
  </si>
  <si>
    <t>Bid Ref</t>
  </si>
  <si>
    <t>Fab Status</t>
  </si>
  <si>
    <t>Install Date</t>
  </si>
  <si>
    <t>Install Status</t>
  </si>
  <si>
    <t>Invoice Status</t>
  </si>
  <si>
    <t>001</t>
  </si>
  <si>
    <t>G</t>
  </si>
  <si>
    <t>—</t>
  </si>
  <si>
    <t>MT. TABOR KITCHEN</t>
  </si>
  <si>
    <t>002</t>
  </si>
  <si>
    <t>P</t>
  </si>
  <si>
    <t>NIC RAMIREZ</t>
  </si>
  <si>
    <t>DOORS</t>
  </si>
  <si>
    <t>003</t>
  </si>
  <si>
    <t>ACC / PPMC</t>
  </si>
  <si>
    <t>C.TOPS</t>
  </si>
  <si>
    <t>004</t>
  </si>
  <si>
    <t>8 AUD C.SINKS</t>
  </si>
  <si>
    <t>005</t>
  </si>
  <si>
    <t>RADIATION ONCOLOGY REM. DRAWERS</t>
  </si>
  <si>
    <t>006</t>
  </si>
  <si>
    <t>NEW TABLETOP</t>
  </si>
  <si>
    <t>007</t>
  </si>
  <si>
    <t>COATS &amp; TAILS</t>
  </si>
  <si>
    <t>LOBBY / MISC</t>
  </si>
  <si>
    <t>008</t>
  </si>
  <si>
    <t>UNIV. ACH. MILLWORK</t>
  </si>
  <si>
    <t>HILLS. CAMPUS</t>
  </si>
  <si>
    <t>009</t>
  </si>
  <si>
    <t>P/L COUNTERTOP</t>
  </si>
  <si>
    <t>010</t>
  </si>
  <si>
    <t>MANION DESIGN LLC</t>
  </si>
  <si>
    <t>BASE CAB'S W/C</t>
  </si>
  <si>
    <t>011</t>
  </si>
  <si>
    <t>VIKING</t>
  </si>
  <si>
    <t>LGS MOB 2 OP PHARMACY</t>
  </si>
  <si>
    <t>012</t>
  </si>
  <si>
    <t>NORWEST</t>
  </si>
  <si>
    <t>OR VASC. SPECIALISTS</t>
  </si>
  <si>
    <t>013</t>
  </si>
  <si>
    <t>NORTHWEST PRIMARY CARE</t>
  </si>
  <si>
    <t>KITCHEN</t>
  </si>
  <si>
    <t>014</t>
  </si>
  <si>
    <t>J</t>
  </si>
  <si>
    <t>527 CLOSET</t>
  </si>
  <si>
    <t>VOID</t>
  </si>
  <si>
    <t>VOID - crossed out on original job list</t>
  </si>
  <si>
    <t>015</t>
  </si>
  <si>
    <t>JESUIT HS</t>
  </si>
  <si>
    <t>CT &amp; SHELVES</t>
  </si>
  <si>
    <t>016</t>
  </si>
  <si>
    <t>JOHN</t>
  </si>
  <si>
    <t>MDF CIRCLES</t>
  </si>
  <si>
    <t>017</t>
  </si>
  <si>
    <t>PLYWOOD PANELS</t>
  </si>
  <si>
    <t>018</t>
  </si>
  <si>
    <t>MOB 2 STE 200</t>
  </si>
  <si>
    <t>019</t>
  </si>
  <si>
    <t>OREGON RESTORATION</t>
  </si>
  <si>
    <t>VANITY</t>
  </si>
  <si>
    <t>020</t>
  </si>
  <si>
    <t>MARK HORYAT</t>
  </si>
  <si>
    <t>MISC</t>
  </si>
  <si>
    <t>021</t>
  </si>
  <si>
    <t>TOC LAB REMODEL</t>
  </si>
  <si>
    <t>022</t>
  </si>
  <si>
    <t>5 STAR</t>
  </si>
  <si>
    <t>EMANUAL RM 5400 CASEWORK</t>
  </si>
  <si>
    <t>023</t>
  </si>
  <si>
    <t>JOHN HOLTMANN</t>
  </si>
  <si>
    <t>GOLF CABINET</t>
  </si>
  <si>
    <t>024</t>
  </si>
  <si>
    <t>VOLCANO VIEW BOOKCASES</t>
  </si>
  <si>
    <t>025</t>
  </si>
  <si>
    <t>SCHAFFRON CONST</t>
  </si>
  <si>
    <t>2 DOORS</t>
  </si>
  <si>
    <t>026</t>
  </si>
  <si>
    <t>ESSEX</t>
  </si>
  <si>
    <t>BONNEVILLE ST JOHNS</t>
  </si>
  <si>
    <t>027</t>
  </si>
  <si>
    <t>MATERNITY CAB</t>
  </si>
  <si>
    <t>028</t>
  </si>
  <si>
    <t>PACIFIC BLD SUITE 1012-1015</t>
  </si>
  <si>
    <t>029</t>
  </si>
  <si>
    <t>TRAINOR COMMERCIAL CONST.</t>
  </si>
  <si>
    <t>DESIGN WITHIN REACH</t>
  </si>
  <si>
    <t>030</t>
  </si>
  <si>
    <t>R. HAKES</t>
  </si>
  <si>
    <t>PACIFIC OFFICE AUTOMATION RENO</t>
  </si>
  <si>
    <t>031</t>
  </si>
  <si>
    <t>ST. ANDREWS CHURCH DR</t>
  </si>
  <si>
    <t>032</t>
  </si>
  <si>
    <t>FIV CABIN</t>
  </si>
  <si>
    <t>033</t>
  </si>
  <si>
    <t>UNITY LOBBY DRAWER BOX</t>
  </si>
  <si>
    <t>034</t>
  </si>
  <si>
    <t>INLINE</t>
  </si>
  <si>
    <t>OFFICE REMODEL</t>
  </si>
  <si>
    <t>035</t>
  </si>
  <si>
    <t>BEAVERTON DENTAL</t>
  </si>
  <si>
    <t>036</t>
  </si>
  <si>
    <t>ACC / PROV. GATEWAY</t>
  </si>
  <si>
    <t>MOB X-RAY</t>
  </si>
  <si>
    <t>037</t>
  </si>
  <si>
    <t>AWE</t>
  </si>
  <si>
    <t>CUT PARTS</t>
  </si>
  <si>
    <t>038</t>
  </si>
  <si>
    <t>LOIS</t>
  </si>
  <si>
    <t>G. TOP</t>
  </si>
  <si>
    <t>039</t>
  </si>
  <si>
    <t>ALOFT</t>
  </si>
  <si>
    <t>REFINISH DOOR</t>
  </si>
  <si>
    <t>040</t>
  </si>
  <si>
    <t>FOREST GROVE</t>
  </si>
  <si>
    <t>BREAK RM</t>
  </si>
  <si>
    <t>041</t>
  </si>
  <si>
    <t>LEMC MOB 2 STE 550</t>
  </si>
  <si>
    <t>042</t>
  </si>
  <si>
    <t>ACC / LSMC</t>
  </si>
  <si>
    <t>OP PHARMACY</t>
  </si>
  <si>
    <t>043</t>
  </si>
  <si>
    <t>JEFF RULE</t>
  </si>
  <si>
    <t>DOOR REPAIR</t>
  </si>
  <si>
    <t>044</t>
  </si>
  <si>
    <t>MARK ASPLUND</t>
  </si>
  <si>
    <t>CASEWORK</t>
  </si>
  <si>
    <t>T+M</t>
  </si>
  <si>
    <t>045</t>
  </si>
  <si>
    <t>STAFF LOUNGE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</si>
  <si>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</si>
  <si>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</si>
  <si>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</si>
  <si>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</si>
  <si>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</si>
  <si>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</si>
  <si>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</si>
  <si>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</si>
  <si>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</si>
  <si>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</si>
  <si>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</si>
  <si>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</si>
  <si>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</si>
  <si>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</si>
  <si>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</si>
  <si>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</si>
  <si>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</si>
  <si>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</si>
  <si>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</si>
  <si>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PM Color Key:</t>
  </si>
  <si>
    <t xml:space="preserve">  G</t>
  </si>
  <si>
    <t xml:space="preserve">  P</t>
  </si>
  <si>
    <t xml:space="preserve">  J</t>
  </si>
  <si>
    <t>CO #</t>
  </si>
  <si>
    <t>CO Description</t>
  </si>
  <si>
    <t>Date Submitted</t>
  </si>
  <si>
    <t>Amount ($)</t>
  </si>
  <si>
    <t>Approved Date</t>
  </si>
  <si>
    <t>CO-26-001-01</t>
  </si>
  <si>
    <t>Owner-directed scope addition — additional upper cabs Room 112</t>
  </si>
  <si>
    <t>CO-26-062-01</t>
  </si>
  <si>
    <t>LSMC OP Pharmacy</t>
  </si>
  <si>
    <t>ASI-01 - Add Full Height Cab with Lock, Pick-up windown shelving</t>
  </si>
  <si>
    <t>CO # format: CO-YY-JJJ-NN  (e.g. CO-26-003-01 = 2026, Job Q-26-003, CO #1)</t>
  </si>
  <si>
    <t>Year</t>
  </si>
  <si>
    <t>Total Bids</t>
  </si>
  <si>
    <t>Submitted</t>
  </si>
  <si>
    <t>Win Rate</t>
  </si>
  <si>
    <t>Total Won Value ($)</t>
  </si>
  <si>
    <t>Avg Bid Value ($)</t>
  </si>
  <si>
    <t>Full year revenue — manually recorded</t>
  </si>
  <si>
    <t>2025 partial as of 9/4/25: $1,924,157 revenue. Powells PDX, Oregon Vascular, Greenburg Pediatric moved to 2026.</t>
  </si>
  <si>
    <t>Year in progress. Includes Powells PDX, Oregon Vascular, Greenburg Pediatric, TOC Path Lab from 2025 tracker (2026 revenue).</t>
  </si>
  <si>
    <t xml:space="preserve">  Estimating Dashboard — 2026 YTD vs 2025</t>
  </si>
  <si>
    <t>Metric</t>
  </si>
  <si>
    <t>2026 (YTD)</t>
  </si>
  <si>
    <t>2025 (Full Year)</t>
  </si>
  <si>
    <t>Total Bids Logged</t>
  </si>
  <si>
    <t>Bids Submitted</t>
  </si>
  <si>
    <t>Bids Won</t>
  </si>
  <si>
    <t>Won ÷ Submitted</t>
  </si>
  <si>
    <t>Avg Won Bid Value ($)</t>
  </si>
  <si>
    <t>Won Value ÷ Won Count</t>
  </si>
  <si>
    <t>Avg Est. Bid Size ($)</t>
  </si>
  <si>
    <t>Avg across all logged bids</t>
  </si>
  <si>
    <t>Active Jobs (Current Jobs)</t>
  </si>
  <si>
    <t>From Current Jobs tab</t>
  </si>
  <si>
    <t>Total Active Contract Value ($)</t>
  </si>
  <si>
    <t>Incl. approved COs</t>
  </si>
  <si>
    <t>August Mileage</t>
  </si>
  <si>
    <t>Miles R/T</t>
  </si>
  <si>
    <t>Park Towers#211</t>
  </si>
  <si>
    <t>PeaceHealth</t>
  </si>
  <si>
    <t>Mill Plains Zoom</t>
  </si>
  <si>
    <t>Willamette Falls Pediatric Unit</t>
  </si>
  <si>
    <t>Total Mileage</t>
  </si>
  <si>
    <t>2025 Rate</t>
  </si>
  <si>
    <t>/Mile</t>
  </si>
  <si>
    <t>Potential New Jobs</t>
  </si>
  <si>
    <t xml:space="preserve">JDL </t>
  </si>
  <si>
    <t>New Seasons Treatment</t>
  </si>
  <si>
    <t xml:space="preserve">pacific Crest </t>
  </si>
  <si>
    <t>Pacific Center 5TH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</si>
</sst>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"/>
    <numFmt numFmtId="165" formatCode="\$#,##0;&quot;($&quot;#,##0\);\-"/>
    <numFmt numFmtId="166" formatCode="\$#,##0.00;&quot;($&quot;#,##0.00\);\-"/>
    <numFmt numFmtId="167" formatCode="0.0%"/>
    <numFmt numFmtId="168" formatCode="yyyy\-mm\-dd\ h:mm:ss"/>
  </numFmts>
  <fonts count="16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b/>
      <sz val="10"/>
      <color rgb="FF1F3864"/>
      <name val="Calibri"/>
      <charset val="1"/>
    </font>
    <font>
      <sz val="10"/>
      <color rgb="FF000000"/>
      <name val="Calibri"/>
      <charset val="1"/>
    </font>
    <font>
      <b/>
      <sz val="10"/>
      <color rgb="FF375623"/>
      <name val="Calibri"/>
      <charset val="1"/>
    </font>
    <font>
      <b/>
      <sz val="11"/>
      <color rgb="FFFFFFFF"/>
      <name val="Calibri"/>
      <charset val="1"/>
    </font>
    <font>
      <b/>
      <sz val="11"/>
      <color rgb="FF000000"/>
      <name val="Calibri"/>
      <charset val="1"/>
    </font>
    <font>
      <b/>
      <sz val="10"/>
      <color rgb="FF000000"/>
      <name val="Calibri"/>
      <charset val="1"/>
    </font>
    <font>
      <sz val="10"/>
      <color rgb="FF2F5496"/>
      <name val="Calibri"/>
      <charset val="1"/>
    </font>
    <font>
      <b/>
      <sz val="10"/>
      <color rgb="FF2F5496"/>
      <name val="Calibri"/>
      <charset val="1"/>
    </font>
    <font>
      <b/>
      <strike/>
      <sz val="11"/>
      <color rgb="FFA03030"/>
      <name val="Calibri"/>
      <charset val="1"/>
    </font>
    <font>
      <sz val="10"/>
      <color rgb="FFA03030"/>
      <name val="Calibri"/>
      <charset val="1"/>
    </font>
    <font>
      <sz val="10"/>
      <color rgb="FF666666"/>
      <name val="Calibri"/>
      <charset val="1"/>
    </font>
    <font>
      <b/>
      <sz val="11"/>
      <color rgb="FF1F3864"/>
      <name val="Calibri"/>
      <charset val="1"/>
    </font>
    <font>
      <i/>
      <sz val="9"/>
      <color rgb="FF888888"/>
      <name val="Calibri"/>
      <charset val="1"/>
    </font>
    <font>
      <b/>
      <sz val="13"/>
      <color rgb="FFFFFFFF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EBF3FB"/>
      </patternFill>
    </fill>
    <fill>
      <patternFill patternType="solid">
        <fgColor rgb="FFFFFFFF"/>
        <bgColor rgb="FFEBF3FB"/>
      </patternFill>
    </fill>
    <fill>
      <patternFill patternType="solid">
        <fgColor rgb="FFFFE0E0"/>
        <bgColor rgb="FFF5D5D5"/>
      </patternFill>
    </fill>
    <fill>
      <patternFill patternType="solid">
        <fgColor rgb="FFFFF2CC"/>
        <bgColor rgb="FFFFE0E0"/>
      </patternFill>
    </fill>
    <fill>
      <patternFill patternType="solid">
        <fgColor rgb="FFEBF3FB"/>
        <bgColor rgb="FFE2EFDA"/>
      </patternFill>
    </fill>
    <fill>
      <patternFill patternType="solid">
        <fgColor rgb="FFF5D5D5"/>
        <bgColor rgb="FFFFE0E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164" fontId="3" fillId="7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164" fontId="3" fillId="8" borderId="1" xfId="0" applyNumberFormat="1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166" fontId="3" fillId="9" borderId="1" xfId="0" applyNumberFormat="1" applyFont="1" applyFill="1" applyBorder="1" applyAlignment="1">
      <alignment horizontal="center" vertical="center"/>
    </xf>
    <xf numFmtId="166" fontId="7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66" fontId="3" fillId="8" borderId="1" xfId="0" applyNumberFormat="1" applyFont="1" applyFill="1" applyBorder="1" applyAlignment="1">
      <alignment horizontal="center" vertical="center"/>
    </xf>
    <xf numFmtId="166" fontId="7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0" borderId="0" xfId="0" applyFont="1"/>
    <xf numFmtId="0" fontId="13" fillId="9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0" fontId="14" fillId="0" borderId="0" xfId="0" applyFont="1"/>
    <xf numFmtId="0" fontId="2" fillId="6" borderId="1" xfId="0" applyFont="1" applyFill="1" applyBorder="1" applyAlignment="1">
      <alignment horizontal="center" vertical="center"/>
    </xf>
    <xf numFmtId="167" fontId="3" fillId="6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/>
    <xf numFmtId="0" fontId="12" fillId="6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center" vertical="center"/>
    </xf>
    <xf numFmtId="168" fontId="0" fillId="0" borderId="0" xfId="0" applyNumberForma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164" fontId="1" fillId="3" borderId="1" xfId="0" applyNumberFormat="1" applyFont="1" applyFill="1" applyBorder="1"/>
    <xf numFmtId="0" fontId="3" fillId="0" borderId="0" xfId="0" applyFont="1"/>
    <xf numFmtId="0" fontId="15" fillId="2" borderId="0" xfId="0" applyFont="1" applyFill="1" applyAlignment="1">
      <alignment horizontal="left" vertical="center"/>
    </xf>
  </cellXfs>
  <cellStyles count="1">
    <cellStyle name="Normal" xfId="0" builtinId="0"/>
  </cellStyles>
  <dxfs count="2">
    <dxf>
      <fill>
        <patternFill patternType="solid">
          <fgColor indexed="64"/>
          <bgColor rgb="FFFCD5B4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0E0"/>
      <rgbColor rgb="FF99CCFF"/>
      <rgbColor rgb="FFFF99CC"/>
      <rgbColor rgb="FFCC99FF"/>
      <rgbColor rgb="FFF5D5D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A0303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AF7EBC4-8B90-411A-BDF6-26FC8489A406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bf9b0472-00e8-48dd-b863-7823f14501a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157"/>
  <sheetViews>
    <sheetView tabSelected="1" zoomScaleNormal="100" workbookViewId="0">
      <pane xSplit="1" ySplit="1" topLeftCell="B130" activePane="bottomRight" state="frozen"/>
      <selection pane="bottomRight" activeCell="E141" sqref="E141"/>
      <selection pane="bottomLeft" activeCell="A2" sqref="A2"/>
      <selection pane="topRight" activeCell="B1" sqref="B1"/>
    </sheetView>
  </sheetViews>
  <sheetFormatPr defaultColWidth="8.7109375" defaultRowHeight="15" outlineLevelRow="1"/>
  <cols>
    <col min="1" max="1" width="11.5703125" customWidth="1"/>
    <col min="2" max="2" width="10.85546875" customWidth="1"/>
    <col min="3" max="3" width="18" customWidth="1"/>
    <col min="4" max="4" width="34" customWidth="1"/>
    <col min="5" max="5" width="13" customWidth="1"/>
    <col min="6" max="7" width="14" customWidth="1"/>
    <col min="8" max="8" width="12" customWidth="1"/>
    <col min="9" max="10" width="15" customWidth="1"/>
    <col min="11" max="11" width="6" customWidth="1"/>
    <col min="12" max="12" width="16" customWidth="1"/>
    <col min="13" max="13" width="15" customWidth="1"/>
    <col min="14" max="16" width="14" customWidth="1"/>
    <col min="17" max="17" width="24" customWidth="1"/>
    <col min="18" max="18" width="20" customWidth="1"/>
    <col min="19" max="20" width="13" customWidth="1"/>
    <col min="21" max="21" width="16" customWidth="1"/>
    <col min="22" max="22" width="12" customWidth="1"/>
    <col min="23" max="23" width="24" customWidth="1"/>
  </cols>
  <sheetData>
    <row r="1" spans="1:23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" customHeight="1" collapsed="1">
      <c r="A2" s="2"/>
      <c r="B2" s="3" t="s">
        <v>23</v>
      </c>
      <c r="C2" s="2"/>
      <c r="D2" s="2"/>
      <c r="E2" s="6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" hidden="1" customHeight="1" outlineLevel="1">
      <c r="A3" s="4" t="s">
        <v>24</v>
      </c>
      <c r="B3" s="5"/>
      <c r="C3" s="5" t="s">
        <v>25</v>
      </c>
      <c r="D3" s="5" t="s">
        <v>26</v>
      </c>
      <c r="E3" s="6">
        <v>46038</v>
      </c>
      <c r="F3" s="5" t="s">
        <v>27</v>
      </c>
      <c r="G3" s="5" t="s">
        <v>28</v>
      </c>
      <c r="H3" s="6" t="s">
        <v>29</v>
      </c>
      <c r="I3" s="5" t="s">
        <v>30</v>
      </c>
      <c r="J3" s="7" t="s">
        <v>31</v>
      </c>
      <c r="K3" s="7" t="str">
        <f>IF(J3="Won","✔","")</f>
        <v>✔</v>
      </c>
      <c r="L3" s="5"/>
      <c r="M3" s="8">
        <v>47988</v>
      </c>
      <c r="N3" s="5"/>
      <c r="O3" s="5"/>
      <c r="P3" s="5"/>
      <c r="Q3" s="5"/>
      <c r="R3" s="5"/>
      <c r="S3" s="9"/>
      <c r="T3" s="8"/>
      <c r="U3" s="8"/>
      <c r="V3" s="5"/>
      <c r="W3" s="5"/>
    </row>
    <row r="4" spans="1:23" ht="15" hidden="1" customHeight="1" outlineLevel="1">
      <c r="A4" s="4" t="s">
        <v>32</v>
      </c>
      <c r="B4" s="10"/>
      <c r="C4" s="10" t="s">
        <v>33</v>
      </c>
      <c r="D4" s="10" t="s">
        <v>34</v>
      </c>
      <c r="E4" s="11">
        <v>46041</v>
      </c>
      <c r="F4" s="10" t="s">
        <v>30</v>
      </c>
      <c r="G4" s="10" t="s">
        <v>35</v>
      </c>
      <c r="H4" s="11" t="s">
        <v>36</v>
      </c>
      <c r="I4" s="10" t="s">
        <v>30</v>
      </c>
      <c r="J4" s="12" t="s">
        <v>37</v>
      </c>
      <c r="K4" s="13" t="str">
        <f>IF(J4="Won","✔","")</f>
        <v/>
      </c>
      <c r="L4" s="10" t="s">
        <v>38</v>
      </c>
      <c r="M4" s="14">
        <v>58551</v>
      </c>
      <c r="N4" s="10"/>
      <c r="O4" s="10"/>
      <c r="P4" s="10"/>
      <c r="Q4" s="10"/>
      <c r="R4" s="10"/>
      <c r="S4" s="12"/>
      <c r="T4" s="14"/>
      <c r="U4" s="14"/>
      <c r="V4" s="10"/>
      <c r="W4" s="10"/>
    </row>
    <row r="5" spans="1:23" ht="15" hidden="1" customHeight="1" outlineLevel="1">
      <c r="A5" s="4" t="s">
        <v>39</v>
      </c>
      <c r="B5" s="10"/>
      <c r="C5" s="10" t="s">
        <v>40</v>
      </c>
      <c r="D5" s="10" t="s">
        <v>41</v>
      </c>
      <c r="E5" s="11">
        <v>46044</v>
      </c>
      <c r="F5" s="10" t="s">
        <v>42</v>
      </c>
      <c r="G5" s="10" t="s">
        <v>28</v>
      </c>
      <c r="H5" s="11" t="s">
        <v>43</v>
      </c>
      <c r="I5" s="10" t="s">
        <v>44</v>
      </c>
      <c r="J5" s="12" t="s">
        <v>37</v>
      </c>
      <c r="K5" s="13" t="str">
        <f>IF(J5="Won","✔","")</f>
        <v/>
      </c>
      <c r="L5" s="10" t="s">
        <v>45</v>
      </c>
      <c r="M5" s="14">
        <v>9481</v>
      </c>
      <c r="N5" s="10"/>
      <c r="O5" s="10"/>
      <c r="P5" s="10"/>
      <c r="Q5" s="10"/>
      <c r="R5" s="10"/>
      <c r="S5" s="12"/>
      <c r="T5" s="14"/>
      <c r="U5" s="14"/>
      <c r="V5" s="10"/>
      <c r="W5" s="10"/>
    </row>
    <row r="6" spans="1:23" ht="15" hidden="1" customHeight="1" outlineLevel="1">
      <c r="A6" s="4" t="s">
        <v>46</v>
      </c>
      <c r="B6" s="10"/>
      <c r="C6" s="10" t="s">
        <v>47</v>
      </c>
      <c r="D6" s="10" t="s">
        <v>41</v>
      </c>
      <c r="E6" s="11">
        <v>46044</v>
      </c>
      <c r="F6" s="10" t="s">
        <v>42</v>
      </c>
      <c r="G6" s="10" t="s">
        <v>28</v>
      </c>
      <c r="H6" s="11" t="s">
        <v>43</v>
      </c>
      <c r="I6" s="10" t="s">
        <v>44</v>
      </c>
      <c r="J6" s="12" t="s">
        <v>37</v>
      </c>
      <c r="K6" s="13" t="str">
        <f>IF(J6="Won","✔","")</f>
        <v/>
      </c>
      <c r="L6" s="10" t="s">
        <v>45</v>
      </c>
      <c r="M6" s="14">
        <v>9481</v>
      </c>
      <c r="N6" s="10"/>
      <c r="O6" s="10"/>
      <c r="P6" s="10"/>
      <c r="Q6" s="10"/>
      <c r="R6" s="10"/>
      <c r="S6" s="12"/>
      <c r="T6" s="14"/>
      <c r="U6" s="14"/>
      <c r="V6" s="10"/>
      <c r="W6" s="10"/>
    </row>
    <row r="7" spans="1:23" ht="15" hidden="1" customHeight="1" outlineLevel="1">
      <c r="A7" s="4" t="s">
        <v>48</v>
      </c>
      <c r="B7" s="10"/>
      <c r="C7" s="10" t="s">
        <v>49</v>
      </c>
      <c r="D7" s="10" t="s">
        <v>50</v>
      </c>
      <c r="E7" s="11">
        <v>46038</v>
      </c>
      <c r="F7" s="10" t="s">
        <v>30</v>
      </c>
      <c r="G7" s="10" t="s">
        <v>28</v>
      </c>
      <c r="H7" s="11" t="s">
        <v>29</v>
      </c>
      <c r="I7" s="10" t="s">
        <v>30</v>
      </c>
      <c r="J7" s="12" t="s">
        <v>37</v>
      </c>
      <c r="K7" s="13" t="str">
        <f>IF(J7="Won","✔","")</f>
        <v/>
      </c>
      <c r="L7" s="10" t="s">
        <v>51</v>
      </c>
      <c r="M7" s="14">
        <v>1052</v>
      </c>
      <c r="N7" s="10"/>
      <c r="O7" s="10"/>
      <c r="P7" s="10"/>
      <c r="Q7" s="10"/>
      <c r="R7" s="10"/>
      <c r="S7" s="12"/>
      <c r="T7" s="14"/>
      <c r="U7" s="14"/>
      <c r="V7" s="10"/>
      <c r="W7" s="10"/>
    </row>
    <row r="8" spans="1:23" ht="15" hidden="1" customHeight="1" outlineLevel="1">
      <c r="A8" s="4" t="s">
        <v>52</v>
      </c>
      <c r="B8" s="10"/>
      <c r="C8" s="10" t="s">
        <v>53</v>
      </c>
      <c r="D8" s="10" t="s">
        <v>54</v>
      </c>
      <c r="E8" s="11">
        <v>46034</v>
      </c>
      <c r="F8" s="10" t="s">
        <v>30</v>
      </c>
      <c r="G8" s="10" t="s">
        <v>35</v>
      </c>
      <c r="H8" s="11" t="s">
        <v>55</v>
      </c>
      <c r="I8" s="10" t="s">
        <v>30</v>
      </c>
      <c r="J8" s="12" t="s">
        <v>37</v>
      </c>
      <c r="K8" s="13" t="str">
        <f>IF(J8="Won","✔","")</f>
        <v/>
      </c>
      <c r="L8" s="10" t="s">
        <v>56</v>
      </c>
      <c r="M8" s="14">
        <v>6150</v>
      </c>
      <c r="N8" s="10"/>
      <c r="O8" s="10"/>
      <c r="P8" s="10"/>
      <c r="Q8" s="10"/>
      <c r="R8" s="10"/>
      <c r="S8" s="12"/>
      <c r="T8" s="14"/>
      <c r="U8" s="14"/>
      <c r="V8" s="10"/>
      <c r="W8" s="10"/>
    </row>
    <row r="9" spans="1:23" ht="15" hidden="1" customHeight="1" outlineLevel="1">
      <c r="A9" s="4" t="s">
        <v>57</v>
      </c>
      <c r="B9" s="10"/>
      <c r="C9" s="10" t="s">
        <v>58</v>
      </c>
      <c r="D9" s="10" t="s">
        <v>59</v>
      </c>
      <c r="E9" s="11">
        <v>46036</v>
      </c>
      <c r="F9" s="10" t="s">
        <v>30</v>
      </c>
      <c r="G9" s="10" t="s">
        <v>28</v>
      </c>
      <c r="H9" s="11" t="s">
        <v>55</v>
      </c>
      <c r="I9" s="10" t="s">
        <v>30</v>
      </c>
      <c r="J9" s="12" t="s">
        <v>31</v>
      </c>
      <c r="K9" s="13" t="str">
        <f>IF(J9="Won","✔","")</f>
        <v>✔</v>
      </c>
      <c r="L9" s="10"/>
      <c r="M9" s="14">
        <v>1900</v>
      </c>
      <c r="N9" s="10"/>
      <c r="O9" s="10"/>
      <c r="P9" s="10"/>
      <c r="Q9" s="10"/>
      <c r="R9" s="10"/>
      <c r="S9" s="12"/>
      <c r="T9" s="14"/>
      <c r="U9" s="14"/>
      <c r="V9" s="10"/>
      <c r="W9" s="10"/>
    </row>
    <row r="10" spans="1:23" ht="15" hidden="1" customHeight="1" outlineLevel="1">
      <c r="A10" s="4" t="s">
        <v>60</v>
      </c>
      <c r="B10" s="5"/>
      <c r="C10" s="5" t="s">
        <v>61</v>
      </c>
      <c r="D10" s="5" t="s">
        <v>62</v>
      </c>
      <c r="E10" s="6">
        <v>46037</v>
      </c>
      <c r="F10" s="5" t="s">
        <v>30</v>
      </c>
      <c r="G10" s="5" t="s">
        <v>28</v>
      </c>
      <c r="H10" s="6"/>
      <c r="I10" s="5" t="s">
        <v>30</v>
      </c>
      <c r="J10" s="7" t="s">
        <v>31</v>
      </c>
      <c r="K10" s="7" t="str">
        <f>IF(J10="Won","✔","")</f>
        <v>✔</v>
      </c>
      <c r="L10" s="5"/>
      <c r="M10" s="8">
        <v>2325</v>
      </c>
      <c r="N10" s="5"/>
      <c r="O10" s="5"/>
      <c r="P10" s="5"/>
      <c r="Q10" s="5"/>
      <c r="R10" s="5"/>
      <c r="S10" s="9"/>
      <c r="T10" s="8"/>
      <c r="U10" s="8"/>
      <c r="V10" s="5"/>
      <c r="W10" s="5"/>
    </row>
    <row r="11" spans="1:23" ht="15" hidden="1" customHeight="1" outlineLevel="1">
      <c r="A11" s="4" t="s">
        <v>63</v>
      </c>
      <c r="B11" s="10"/>
      <c r="C11" s="10" t="s">
        <v>64</v>
      </c>
      <c r="D11" s="10" t="s">
        <v>65</v>
      </c>
      <c r="E11" s="11">
        <v>46038</v>
      </c>
      <c r="F11" s="10" t="s">
        <v>30</v>
      </c>
      <c r="G11" s="10" t="s">
        <v>28</v>
      </c>
      <c r="H11" s="11" t="s">
        <v>29</v>
      </c>
      <c r="I11" s="10" t="s">
        <v>30</v>
      </c>
      <c r="J11" s="12" t="s">
        <v>37</v>
      </c>
      <c r="K11" s="13" t="str">
        <f>IF(J11="Won","✔","")</f>
        <v/>
      </c>
      <c r="L11" s="10" t="s">
        <v>51</v>
      </c>
      <c r="M11" s="14">
        <v>1147</v>
      </c>
      <c r="N11" s="10"/>
      <c r="O11" s="10"/>
      <c r="P11" s="10"/>
      <c r="Q11" s="10"/>
      <c r="R11" s="10"/>
      <c r="S11" s="12"/>
      <c r="T11" s="14"/>
      <c r="U11" s="14"/>
      <c r="V11" s="10"/>
      <c r="W11" s="10"/>
    </row>
    <row r="12" spans="1:23" ht="15" hidden="1" customHeight="1" outlineLevel="1">
      <c r="A12" s="4" t="s">
        <v>66</v>
      </c>
      <c r="B12" s="5"/>
      <c r="C12" s="5" t="s">
        <v>64</v>
      </c>
      <c r="D12" s="5" t="s">
        <v>67</v>
      </c>
      <c r="E12" s="6">
        <v>46037</v>
      </c>
      <c r="F12" s="5" t="s">
        <v>30</v>
      </c>
      <c r="G12" s="5" t="s">
        <v>28</v>
      </c>
      <c r="H12" s="6"/>
      <c r="I12" s="5" t="s">
        <v>30</v>
      </c>
      <c r="J12" s="7" t="s">
        <v>31</v>
      </c>
      <c r="K12" s="7" t="str">
        <f>IF(J12="Won","✔","")</f>
        <v>✔</v>
      </c>
      <c r="L12" s="5" t="s">
        <v>51</v>
      </c>
      <c r="M12" s="8">
        <v>1180</v>
      </c>
      <c r="N12" s="5"/>
      <c r="O12" s="5"/>
      <c r="P12" s="5"/>
      <c r="Q12" s="5"/>
      <c r="R12" s="5"/>
      <c r="S12" s="9"/>
      <c r="T12" s="8"/>
      <c r="U12" s="8"/>
      <c r="V12" s="5"/>
      <c r="W12" s="5"/>
    </row>
    <row r="13" spans="1:23" ht="15" hidden="1" customHeight="1" outlineLevel="1">
      <c r="A13" s="4" t="s">
        <v>68</v>
      </c>
      <c r="B13" s="10"/>
      <c r="C13" s="10" t="s">
        <v>69</v>
      </c>
      <c r="D13" s="10" t="s">
        <v>70</v>
      </c>
      <c r="E13" s="11">
        <v>46036</v>
      </c>
      <c r="F13" s="10" t="s">
        <v>30</v>
      </c>
      <c r="G13" s="10" t="s">
        <v>28</v>
      </c>
      <c r="H13" s="11"/>
      <c r="I13" s="10" t="s">
        <v>30</v>
      </c>
      <c r="J13" s="12" t="s">
        <v>31</v>
      </c>
      <c r="K13" s="13" t="str">
        <f>IF(J13="Won","✔","")</f>
        <v>✔</v>
      </c>
      <c r="L13" s="10" t="s">
        <v>71</v>
      </c>
      <c r="M13" s="14">
        <v>3920</v>
      </c>
      <c r="N13" s="10"/>
      <c r="O13" s="10"/>
      <c r="P13" s="10"/>
      <c r="Q13" s="10"/>
      <c r="R13" s="10"/>
      <c r="S13" s="12"/>
      <c r="T13" s="14"/>
      <c r="U13" s="14"/>
      <c r="V13" s="10"/>
      <c r="W13" s="10"/>
    </row>
    <row r="14" spans="1:23" ht="15" hidden="1" customHeight="1" outlineLevel="1">
      <c r="A14" s="4" t="s">
        <v>72</v>
      </c>
      <c r="B14" s="10"/>
      <c r="C14" s="10" t="s">
        <v>73</v>
      </c>
      <c r="D14" s="10" t="s">
        <v>74</v>
      </c>
      <c r="E14" s="11">
        <v>46036</v>
      </c>
      <c r="F14" s="10" t="s">
        <v>30</v>
      </c>
      <c r="G14" s="10" t="s">
        <v>28</v>
      </c>
      <c r="H14" s="11" t="s">
        <v>55</v>
      </c>
      <c r="I14" s="10" t="s">
        <v>30</v>
      </c>
      <c r="J14" s="12" t="s">
        <v>37</v>
      </c>
      <c r="K14" s="13" t="str">
        <f>IF(J14="Won","✔","")</f>
        <v/>
      </c>
      <c r="L14" s="10"/>
      <c r="M14" s="14">
        <v>7218</v>
      </c>
      <c r="N14" s="10"/>
      <c r="O14" s="10"/>
      <c r="P14" s="10"/>
      <c r="Q14" s="10"/>
      <c r="R14" s="10"/>
      <c r="S14" s="12"/>
      <c r="T14" s="14"/>
      <c r="U14" s="14"/>
      <c r="V14" s="10"/>
      <c r="W14" s="10"/>
    </row>
    <row r="15" spans="1:23" ht="15" hidden="1" customHeight="1" outlineLevel="1">
      <c r="A15" s="4" t="s">
        <v>75</v>
      </c>
      <c r="B15" s="10"/>
      <c r="C15" s="10" t="s">
        <v>73</v>
      </c>
      <c r="D15" s="10" t="s">
        <v>76</v>
      </c>
      <c r="E15" s="11">
        <v>46037</v>
      </c>
      <c r="F15" s="10" t="s">
        <v>30</v>
      </c>
      <c r="G15" s="10"/>
      <c r="H15" s="11"/>
      <c r="I15" s="10" t="s">
        <v>30</v>
      </c>
      <c r="J15" s="12" t="s">
        <v>37</v>
      </c>
      <c r="K15" s="13" t="str">
        <f>IF(J15="Won","✔","")</f>
        <v/>
      </c>
      <c r="L15" s="10"/>
      <c r="M15" s="14">
        <v>35919</v>
      </c>
      <c r="N15" s="10"/>
      <c r="O15" s="10"/>
      <c r="P15" s="10"/>
      <c r="Q15" s="10"/>
      <c r="R15" s="10"/>
      <c r="S15" s="12"/>
      <c r="T15" s="14"/>
      <c r="U15" s="14"/>
      <c r="V15" s="10"/>
      <c r="W15" s="10"/>
    </row>
    <row r="16" spans="1:23" ht="15" hidden="1" customHeight="1" outlineLevel="1">
      <c r="A16" s="4" t="s">
        <v>77</v>
      </c>
      <c r="B16" s="10"/>
      <c r="C16" s="10" t="s">
        <v>73</v>
      </c>
      <c r="D16" s="10" t="s">
        <v>78</v>
      </c>
      <c r="E16" s="11">
        <v>46037</v>
      </c>
      <c r="F16" s="10" t="s">
        <v>30</v>
      </c>
      <c r="G16" s="10" t="s">
        <v>28</v>
      </c>
      <c r="H16" s="11" t="s">
        <v>55</v>
      </c>
      <c r="I16" s="10" t="s">
        <v>30</v>
      </c>
      <c r="J16" s="12" t="s">
        <v>31</v>
      </c>
      <c r="K16" s="13" t="str">
        <f>IF(J16="Won","✔","")</f>
        <v>✔</v>
      </c>
      <c r="L16" s="10" t="s">
        <v>51</v>
      </c>
      <c r="M16" s="14">
        <v>5713</v>
      </c>
      <c r="N16" s="10"/>
      <c r="O16" s="10"/>
      <c r="P16" s="10"/>
      <c r="Q16" s="10"/>
      <c r="R16" s="10"/>
      <c r="S16" s="12"/>
      <c r="T16" s="14"/>
      <c r="U16" s="14"/>
      <c r="V16" s="10"/>
      <c r="W16" s="10"/>
    </row>
    <row r="17" spans="1:23" ht="15" hidden="1" customHeight="1" outlineLevel="1">
      <c r="A17" s="4" t="s">
        <v>79</v>
      </c>
      <c r="B17" s="10" t="s">
        <v>80</v>
      </c>
      <c r="C17" s="10" t="s">
        <v>81</v>
      </c>
      <c r="D17" s="10" t="s">
        <v>82</v>
      </c>
      <c r="E17" s="11"/>
      <c r="F17" s="10"/>
      <c r="G17" s="10"/>
      <c r="H17" s="11"/>
      <c r="I17" s="10"/>
      <c r="J17" s="12" t="s">
        <v>80</v>
      </c>
      <c r="K17" s="13" t="str">
        <f>IF(J17="Won","✔","")</f>
        <v/>
      </c>
      <c r="L17" s="10"/>
      <c r="M17" s="14"/>
      <c r="N17" s="10"/>
      <c r="O17" s="10"/>
      <c r="P17" s="10"/>
      <c r="Q17" s="10"/>
      <c r="R17" s="10"/>
      <c r="S17" s="12"/>
      <c r="T17" s="14"/>
      <c r="U17" s="14"/>
      <c r="V17" s="10"/>
      <c r="W17" s="10"/>
    </row>
    <row r="18" spans="1:23" ht="15" hidden="1" customHeight="1" outlineLevel="1">
      <c r="A18" s="4" t="s">
        <v>83</v>
      </c>
      <c r="B18" s="10"/>
      <c r="C18" s="10" t="s">
        <v>81</v>
      </c>
      <c r="D18" s="10" t="s">
        <v>84</v>
      </c>
      <c r="E18" s="11">
        <v>46037</v>
      </c>
      <c r="F18" s="10" t="s">
        <v>30</v>
      </c>
      <c r="G18" s="10" t="s">
        <v>28</v>
      </c>
      <c r="H18" s="11" t="s">
        <v>85</v>
      </c>
      <c r="I18" s="10" t="s">
        <v>30</v>
      </c>
      <c r="J18" s="12" t="s">
        <v>37</v>
      </c>
      <c r="K18" s="13" t="str">
        <f>IF(J18="Won","✔","")</f>
        <v/>
      </c>
      <c r="L18" s="10" t="s">
        <v>86</v>
      </c>
      <c r="M18" s="14">
        <v>3715</v>
      </c>
      <c r="N18" s="10"/>
      <c r="O18" s="10"/>
      <c r="P18" s="10"/>
      <c r="Q18" s="10"/>
      <c r="R18" s="10"/>
      <c r="S18" s="12"/>
      <c r="T18" s="14"/>
      <c r="U18" s="14"/>
      <c r="V18" s="10"/>
      <c r="W18" s="10"/>
    </row>
    <row r="19" spans="1:23" ht="15" hidden="1" customHeight="1" outlineLevel="1">
      <c r="A19" s="4" t="s">
        <v>87</v>
      </c>
      <c r="B19" s="10"/>
      <c r="C19" s="10" t="s">
        <v>81</v>
      </c>
      <c r="D19" s="10" t="s">
        <v>88</v>
      </c>
      <c r="E19" s="11">
        <v>46037</v>
      </c>
      <c r="F19" s="10" t="s">
        <v>30</v>
      </c>
      <c r="G19" s="10" t="s">
        <v>28</v>
      </c>
      <c r="H19" s="11"/>
      <c r="I19" s="10" t="s">
        <v>30</v>
      </c>
      <c r="J19" s="12" t="s">
        <v>37</v>
      </c>
      <c r="K19" s="13" t="str">
        <f>IF(J19="Won","✔","")</f>
        <v/>
      </c>
      <c r="L19" s="10" t="s">
        <v>86</v>
      </c>
      <c r="M19" s="14">
        <v>9930</v>
      </c>
      <c r="N19" s="10"/>
      <c r="O19" s="10"/>
      <c r="P19" s="10"/>
      <c r="Q19" s="10"/>
      <c r="R19" s="10"/>
      <c r="S19" s="12"/>
      <c r="T19" s="14"/>
      <c r="U19" s="14"/>
      <c r="V19" s="10"/>
      <c r="W19" s="10"/>
    </row>
    <row r="20" spans="1:23" ht="15" hidden="1" customHeight="1" outlineLevel="1">
      <c r="A20" s="4" t="s">
        <v>89</v>
      </c>
      <c r="B20" s="5"/>
      <c r="C20" s="5" t="s">
        <v>90</v>
      </c>
      <c r="D20" s="5" t="s">
        <v>91</v>
      </c>
      <c r="E20" s="6">
        <v>46037</v>
      </c>
      <c r="F20" s="5" t="s">
        <v>30</v>
      </c>
      <c r="G20" s="5" t="s">
        <v>28</v>
      </c>
      <c r="H20" s="6"/>
      <c r="I20" s="5" t="s">
        <v>30</v>
      </c>
      <c r="J20" s="7" t="s">
        <v>31</v>
      </c>
      <c r="K20" s="7" t="str">
        <f>IF(J20="Won","✔","")</f>
        <v>✔</v>
      </c>
      <c r="L20" s="5" t="s">
        <v>92</v>
      </c>
      <c r="M20" s="8">
        <v>3622</v>
      </c>
      <c r="N20" s="5"/>
      <c r="O20" s="5"/>
      <c r="P20" s="5"/>
      <c r="Q20" s="5"/>
      <c r="R20" s="5"/>
      <c r="S20" s="9"/>
      <c r="T20" s="8"/>
      <c r="U20" s="8"/>
      <c r="V20" s="5"/>
      <c r="W20" s="5"/>
    </row>
    <row r="21" spans="1:23" ht="15" hidden="1" customHeight="1" outlineLevel="1">
      <c r="A21" s="4" t="s">
        <v>93</v>
      </c>
      <c r="B21" s="10"/>
      <c r="C21" s="10" t="s">
        <v>53</v>
      </c>
      <c r="D21" s="10" t="s">
        <v>94</v>
      </c>
      <c r="E21" s="11"/>
      <c r="F21" s="10"/>
      <c r="G21" s="10"/>
      <c r="H21" s="11"/>
      <c r="I21" s="10"/>
      <c r="J21" s="12"/>
      <c r="K21" s="13" t="str">
        <f>IF(J21="Won","✔","")</f>
        <v/>
      </c>
      <c r="L21" s="10"/>
      <c r="M21" s="14"/>
      <c r="N21" s="10"/>
      <c r="O21" s="10"/>
      <c r="P21" s="10"/>
      <c r="Q21" s="10"/>
      <c r="R21" s="10"/>
      <c r="S21" s="12"/>
      <c r="T21" s="14"/>
      <c r="U21" s="14"/>
      <c r="V21" s="10"/>
      <c r="W21" s="10"/>
    </row>
    <row r="22" spans="1:23" ht="15" hidden="1" customHeight="1" outlineLevel="1">
      <c r="A22" s="4" t="s">
        <v>95</v>
      </c>
      <c r="B22" s="10"/>
      <c r="C22" s="10" t="s">
        <v>96</v>
      </c>
      <c r="D22" s="10" t="s">
        <v>97</v>
      </c>
      <c r="E22" s="11">
        <v>46043</v>
      </c>
      <c r="F22" s="10" t="s">
        <v>30</v>
      </c>
      <c r="G22" s="10" t="s">
        <v>28</v>
      </c>
      <c r="H22" s="11" t="s">
        <v>98</v>
      </c>
      <c r="I22" s="10" t="s">
        <v>30</v>
      </c>
      <c r="J22" s="12" t="s">
        <v>37</v>
      </c>
      <c r="K22" s="13" t="str">
        <f>IF(J22="Won","✔","")</f>
        <v/>
      </c>
      <c r="L22" s="10" t="s">
        <v>92</v>
      </c>
      <c r="M22" s="14">
        <v>25800</v>
      </c>
      <c r="N22" s="10"/>
      <c r="O22" s="10"/>
      <c r="P22" s="10"/>
      <c r="Q22" s="10"/>
      <c r="R22" s="10"/>
      <c r="S22" s="12"/>
      <c r="T22" s="14"/>
      <c r="U22" s="14"/>
      <c r="V22" s="10"/>
      <c r="W22" s="10"/>
    </row>
    <row r="23" spans="1:23" ht="15" hidden="1" customHeight="1" outlineLevel="1">
      <c r="A23" s="4" t="s">
        <v>99</v>
      </c>
      <c r="B23" s="10"/>
      <c r="C23" s="10" t="s">
        <v>96</v>
      </c>
      <c r="D23" s="10" t="s">
        <v>100</v>
      </c>
      <c r="E23" s="11">
        <v>46043</v>
      </c>
      <c r="F23" s="10" t="s">
        <v>30</v>
      </c>
      <c r="G23" s="10" t="s">
        <v>28</v>
      </c>
      <c r="H23" s="11" t="s">
        <v>98</v>
      </c>
      <c r="I23" s="10" t="s">
        <v>30</v>
      </c>
      <c r="J23" s="12" t="s">
        <v>37</v>
      </c>
      <c r="K23" s="13" t="str">
        <f>IF(J23="Won","✔","")</f>
        <v/>
      </c>
      <c r="L23" s="10" t="s">
        <v>92</v>
      </c>
      <c r="M23" s="14"/>
      <c r="N23" s="10"/>
      <c r="O23" s="10"/>
      <c r="P23" s="10"/>
      <c r="Q23" s="10"/>
      <c r="R23" s="10"/>
      <c r="S23" s="12"/>
      <c r="T23" s="14"/>
      <c r="U23" s="14"/>
      <c r="V23" s="10"/>
      <c r="W23" s="10"/>
    </row>
    <row r="24" spans="1:23" ht="15" hidden="1" customHeight="1" outlineLevel="1">
      <c r="A24" s="4" t="s">
        <v>101</v>
      </c>
      <c r="B24" s="10"/>
      <c r="C24" s="10" t="s">
        <v>102</v>
      </c>
      <c r="D24" s="10" t="s">
        <v>103</v>
      </c>
      <c r="E24" s="11">
        <v>46044</v>
      </c>
      <c r="F24" s="10" t="s">
        <v>30</v>
      </c>
      <c r="G24" s="10" t="s">
        <v>28</v>
      </c>
      <c r="H24" s="11"/>
      <c r="I24" s="10"/>
      <c r="J24" s="12"/>
      <c r="K24" s="13" t="str">
        <f>IF(J24="Won","✔","")</f>
        <v/>
      </c>
      <c r="L24" s="10"/>
      <c r="M24" s="14">
        <v>3350</v>
      </c>
      <c r="N24" s="10"/>
      <c r="O24" s="10"/>
      <c r="P24" s="10"/>
      <c r="Q24" s="10"/>
      <c r="R24" s="10"/>
      <c r="S24" s="12"/>
      <c r="T24" s="14"/>
      <c r="U24" s="14"/>
      <c r="V24" s="10"/>
      <c r="W24" s="10"/>
    </row>
    <row r="25" spans="1:23" ht="15" hidden="1" customHeight="1" outlineLevel="1">
      <c r="A25" s="4" t="s">
        <v>104</v>
      </c>
      <c r="B25" s="10"/>
      <c r="C25" s="10" t="s">
        <v>105</v>
      </c>
      <c r="D25" s="10" t="s">
        <v>106</v>
      </c>
      <c r="E25" s="11">
        <v>46041</v>
      </c>
      <c r="F25" s="10" t="s">
        <v>30</v>
      </c>
      <c r="G25" s="10" t="s">
        <v>28</v>
      </c>
      <c r="H25" s="11">
        <v>46023</v>
      </c>
      <c r="I25" s="10" t="s">
        <v>30</v>
      </c>
      <c r="J25" s="12" t="s">
        <v>31</v>
      </c>
      <c r="K25" s="13" t="str">
        <f>IF(J25="Won","✔","")</f>
        <v>✔</v>
      </c>
      <c r="L25" s="10"/>
      <c r="M25" s="14">
        <v>3845</v>
      </c>
      <c r="N25" s="10"/>
      <c r="O25" s="10"/>
      <c r="P25" s="10"/>
      <c r="Q25" s="10"/>
      <c r="R25" s="10"/>
      <c r="S25" s="12"/>
      <c r="T25" s="14"/>
      <c r="U25" s="14"/>
      <c r="V25" s="10"/>
      <c r="W25" s="10"/>
    </row>
    <row r="26" spans="1:23" ht="15" hidden="1" customHeight="1" outlineLevel="1">
      <c r="A26" s="4" t="s">
        <v>107</v>
      </c>
      <c r="B26" s="10"/>
      <c r="C26" s="10" t="s">
        <v>108</v>
      </c>
      <c r="D26" s="10" t="s">
        <v>109</v>
      </c>
      <c r="E26" s="11">
        <v>46045</v>
      </c>
      <c r="F26" s="10" t="s">
        <v>30</v>
      </c>
      <c r="G26" s="10" t="s">
        <v>28</v>
      </c>
      <c r="H26" s="11" t="s">
        <v>110</v>
      </c>
      <c r="I26" s="10" t="s">
        <v>30</v>
      </c>
      <c r="J26" s="12" t="s">
        <v>37</v>
      </c>
      <c r="K26" s="13" t="str">
        <f>IF(J26="Won","✔","")</f>
        <v/>
      </c>
      <c r="L26" s="10" t="s">
        <v>51</v>
      </c>
      <c r="M26" s="14">
        <v>89846</v>
      </c>
      <c r="N26" s="10"/>
      <c r="O26" s="10"/>
      <c r="P26" s="10"/>
      <c r="Q26" s="10"/>
      <c r="R26" s="10"/>
      <c r="S26" s="12"/>
      <c r="T26" s="14"/>
      <c r="U26" s="14"/>
      <c r="V26" s="10"/>
      <c r="W26" s="10"/>
    </row>
    <row r="27" spans="1:23" ht="15" hidden="1" customHeight="1" outlineLevel="1">
      <c r="A27" s="4" t="s">
        <v>111</v>
      </c>
      <c r="B27" s="10"/>
      <c r="C27" s="10" t="s">
        <v>112</v>
      </c>
      <c r="D27" s="10" t="s">
        <v>109</v>
      </c>
      <c r="E27" s="11">
        <v>46049</v>
      </c>
      <c r="F27" s="10" t="s">
        <v>42</v>
      </c>
      <c r="G27" s="10" t="s">
        <v>28</v>
      </c>
      <c r="H27" s="11" t="s">
        <v>110</v>
      </c>
      <c r="I27" s="10" t="s">
        <v>44</v>
      </c>
      <c r="J27" s="12" t="s">
        <v>37</v>
      </c>
      <c r="K27" s="13" t="str">
        <f>IF(J27="Won","✔","")</f>
        <v/>
      </c>
      <c r="L27" s="10" t="s">
        <v>51</v>
      </c>
      <c r="M27" s="14">
        <v>89846</v>
      </c>
      <c r="N27" s="10"/>
      <c r="O27" s="10"/>
      <c r="P27" s="10"/>
      <c r="Q27" s="10"/>
      <c r="R27" s="10"/>
      <c r="S27" s="12"/>
      <c r="T27" s="14"/>
      <c r="U27" s="14"/>
      <c r="V27" s="10"/>
      <c r="W27" s="10"/>
    </row>
    <row r="28" spans="1:23" ht="15" hidden="1" customHeight="1" outlineLevel="1">
      <c r="A28" s="4" t="s">
        <v>113</v>
      </c>
      <c r="B28" s="10"/>
      <c r="C28" s="10" t="s">
        <v>25</v>
      </c>
      <c r="D28" s="10" t="s">
        <v>114</v>
      </c>
      <c r="E28" s="11">
        <v>46042</v>
      </c>
      <c r="F28" s="10" t="s">
        <v>42</v>
      </c>
      <c r="G28" s="10" t="s">
        <v>28</v>
      </c>
      <c r="H28" s="11" t="s">
        <v>115</v>
      </c>
      <c r="I28" s="10" t="s">
        <v>30</v>
      </c>
      <c r="J28" s="12" t="s">
        <v>37</v>
      </c>
      <c r="K28" s="13" t="str">
        <f>IF(J28="Won","✔","")</f>
        <v/>
      </c>
      <c r="L28" s="10" t="s">
        <v>51</v>
      </c>
      <c r="M28" s="14">
        <v>86074</v>
      </c>
      <c r="N28" s="10"/>
      <c r="O28" s="10"/>
      <c r="P28" s="10"/>
      <c r="Q28" s="10"/>
      <c r="R28" s="10"/>
      <c r="S28" s="12"/>
      <c r="T28" s="14"/>
      <c r="U28" s="14"/>
      <c r="V28" s="10"/>
      <c r="W28" s="10"/>
    </row>
    <row r="29" spans="1:23" ht="15" hidden="1" customHeight="1" outlineLevel="1">
      <c r="A29" s="4" t="s">
        <v>116</v>
      </c>
      <c r="B29" s="10"/>
      <c r="C29" s="10" t="s">
        <v>25</v>
      </c>
      <c r="D29" s="10" t="s">
        <v>117</v>
      </c>
      <c r="E29" s="11">
        <v>46042</v>
      </c>
      <c r="F29" s="10" t="s">
        <v>118</v>
      </c>
      <c r="G29" s="10" t="s">
        <v>35</v>
      </c>
      <c r="H29" s="11" t="s">
        <v>115</v>
      </c>
      <c r="I29" s="10" t="s">
        <v>30</v>
      </c>
      <c r="J29" s="12" t="s">
        <v>37</v>
      </c>
      <c r="K29" s="13" t="str">
        <f>IF(J29="Won","✔","")</f>
        <v/>
      </c>
      <c r="L29" s="10" t="s">
        <v>119</v>
      </c>
      <c r="M29" s="14">
        <v>65183</v>
      </c>
      <c r="N29" s="10"/>
      <c r="O29" s="10"/>
      <c r="P29" s="10"/>
      <c r="Q29" s="10"/>
      <c r="R29" s="10"/>
      <c r="S29" s="12"/>
      <c r="T29" s="14"/>
      <c r="U29" s="14"/>
      <c r="V29" s="10"/>
      <c r="W29" s="10"/>
    </row>
    <row r="30" spans="1:23" ht="15" hidden="1" customHeight="1" outlineLevel="1">
      <c r="A30" s="4" t="s">
        <v>120</v>
      </c>
      <c r="B30" s="10"/>
      <c r="C30" s="10" t="s">
        <v>121</v>
      </c>
      <c r="D30" s="10" t="s">
        <v>122</v>
      </c>
      <c r="E30" s="11">
        <v>46042</v>
      </c>
      <c r="F30" s="10" t="s">
        <v>42</v>
      </c>
      <c r="G30" s="10" t="s">
        <v>28</v>
      </c>
      <c r="H30" s="11" t="s">
        <v>115</v>
      </c>
      <c r="I30" s="10" t="s">
        <v>30</v>
      </c>
      <c r="J30" s="12" t="s">
        <v>31</v>
      </c>
      <c r="K30" s="13" t="str">
        <f>IF(J30="Won","✔","")</f>
        <v>✔</v>
      </c>
      <c r="L30" s="10" t="s">
        <v>92</v>
      </c>
      <c r="M30" s="14">
        <v>9290</v>
      </c>
      <c r="N30" s="10"/>
      <c r="O30" s="10"/>
      <c r="P30" s="10"/>
      <c r="Q30" s="10"/>
      <c r="R30" s="10"/>
      <c r="S30" s="12"/>
      <c r="T30" s="14"/>
      <c r="U30" s="14"/>
      <c r="V30" s="10"/>
      <c r="W30" s="10"/>
    </row>
    <row r="31" spans="1:23" ht="15" hidden="1" customHeight="1" outlineLevel="1">
      <c r="A31" s="4" t="s">
        <v>123</v>
      </c>
      <c r="B31" s="10"/>
      <c r="C31" s="10" t="s">
        <v>124</v>
      </c>
      <c r="D31" s="10" t="s">
        <v>125</v>
      </c>
      <c r="E31" s="11">
        <v>46049</v>
      </c>
      <c r="F31" s="10" t="s">
        <v>30</v>
      </c>
      <c r="G31" s="10" t="s">
        <v>126</v>
      </c>
      <c r="H31" s="11" t="s">
        <v>127</v>
      </c>
      <c r="I31" s="10" t="s">
        <v>30</v>
      </c>
      <c r="J31" s="12" t="s">
        <v>37</v>
      </c>
      <c r="K31" s="13" t="str">
        <f>IF(J31="Won","✔","")</f>
        <v/>
      </c>
      <c r="L31" s="10"/>
      <c r="M31" s="14">
        <v>4114</v>
      </c>
      <c r="N31" s="10"/>
      <c r="O31" s="10"/>
      <c r="P31" s="10"/>
      <c r="Q31" s="10"/>
      <c r="R31" s="10"/>
      <c r="S31" s="12"/>
      <c r="T31" s="14"/>
      <c r="U31" s="14"/>
      <c r="V31" s="10"/>
      <c r="W31" s="10"/>
    </row>
    <row r="32" spans="1:23" ht="15" hidden="1" customHeight="1" outlineLevel="1">
      <c r="A32" s="4" t="s">
        <v>128</v>
      </c>
      <c r="B32" s="10"/>
      <c r="C32" s="10" t="s">
        <v>129</v>
      </c>
      <c r="D32" s="10" t="s">
        <v>130</v>
      </c>
      <c r="E32" s="11">
        <v>46044</v>
      </c>
      <c r="F32" s="10" t="s">
        <v>30</v>
      </c>
      <c r="G32" s="10" t="s">
        <v>28</v>
      </c>
      <c r="H32" s="11" t="s">
        <v>43</v>
      </c>
      <c r="I32" s="10" t="s">
        <v>30</v>
      </c>
      <c r="J32" s="12" t="s">
        <v>37</v>
      </c>
      <c r="K32" s="13" t="str">
        <f>IF(J32="Won","✔","")</f>
        <v/>
      </c>
      <c r="L32" s="10"/>
      <c r="M32" s="14">
        <v>5125</v>
      </c>
      <c r="N32" s="10"/>
      <c r="O32" s="10"/>
      <c r="P32" s="10"/>
      <c r="Q32" s="10"/>
      <c r="R32" s="10"/>
      <c r="S32" s="12"/>
      <c r="T32" s="14"/>
      <c r="U32" s="14"/>
      <c r="V32" s="10"/>
      <c r="W32" s="10"/>
    </row>
    <row r="33" spans="1:23" ht="15" hidden="1" customHeight="1" outlineLevel="1">
      <c r="A33" s="4" t="s">
        <v>131</v>
      </c>
      <c r="B33" s="10"/>
      <c r="C33" s="10" t="s">
        <v>132</v>
      </c>
      <c r="D33" s="10" t="s">
        <v>133</v>
      </c>
      <c r="E33" s="11">
        <v>46048</v>
      </c>
      <c r="F33" s="10" t="s">
        <v>30</v>
      </c>
      <c r="G33" s="10"/>
      <c r="H33" s="11" t="s">
        <v>134</v>
      </c>
      <c r="I33" s="10" t="s">
        <v>30</v>
      </c>
      <c r="J33" s="12" t="s">
        <v>37</v>
      </c>
      <c r="K33" s="13" t="str">
        <f>IF(J33="Won","✔","")</f>
        <v/>
      </c>
      <c r="L33" s="10" t="s">
        <v>51</v>
      </c>
      <c r="M33" s="14">
        <v>1430</v>
      </c>
      <c r="N33" s="10"/>
      <c r="O33" s="10"/>
      <c r="P33" s="10"/>
      <c r="Q33" s="10"/>
      <c r="R33" s="10"/>
      <c r="S33" s="12"/>
      <c r="T33" s="14"/>
      <c r="U33" s="14"/>
      <c r="V33" s="10"/>
      <c r="W33" s="10"/>
    </row>
    <row r="34" spans="1:23" ht="15" hidden="1" customHeight="1" outlineLevel="1">
      <c r="A34" s="4" t="s">
        <v>135</v>
      </c>
      <c r="B34" s="10"/>
      <c r="C34" s="10" t="s">
        <v>73</v>
      </c>
      <c r="D34" s="10" t="s">
        <v>136</v>
      </c>
      <c r="E34" s="11">
        <v>46048</v>
      </c>
      <c r="F34" s="10" t="s">
        <v>30</v>
      </c>
      <c r="G34" s="10" t="s">
        <v>28</v>
      </c>
      <c r="H34" s="11" t="s">
        <v>134</v>
      </c>
      <c r="I34" s="10" t="s">
        <v>30</v>
      </c>
      <c r="J34" s="12" t="s">
        <v>37</v>
      </c>
      <c r="K34" s="13" t="str">
        <f>IF(J34="Won","✔","")</f>
        <v/>
      </c>
      <c r="L34" s="10" t="s">
        <v>119</v>
      </c>
      <c r="M34" s="14">
        <v>4726</v>
      </c>
      <c r="N34" s="10"/>
      <c r="O34" s="10"/>
      <c r="P34" s="10"/>
      <c r="Q34" s="10"/>
      <c r="R34" s="10"/>
      <c r="S34" s="12"/>
      <c r="T34" s="14"/>
      <c r="U34" s="14"/>
      <c r="V34" s="10"/>
      <c r="W34" s="10"/>
    </row>
    <row r="35" spans="1:23" ht="15" hidden="1" customHeight="1" outlineLevel="1">
      <c r="A35" s="4" t="s">
        <v>137</v>
      </c>
      <c r="B35" s="5"/>
      <c r="C35" s="5" t="s">
        <v>138</v>
      </c>
      <c r="D35" s="5" t="s">
        <v>100</v>
      </c>
      <c r="E35" s="6">
        <v>46037</v>
      </c>
      <c r="F35" s="5" t="s">
        <v>30</v>
      </c>
      <c r="G35" s="5" t="s">
        <v>28</v>
      </c>
      <c r="H35" s="6" t="s">
        <v>85</v>
      </c>
      <c r="I35" s="5" t="s">
        <v>30</v>
      </c>
      <c r="J35" s="7" t="s">
        <v>31</v>
      </c>
      <c r="K35" s="7" t="str">
        <f>IF(J35="Won","✔","")</f>
        <v>✔</v>
      </c>
      <c r="L35" s="5" t="s">
        <v>139</v>
      </c>
      <c r="M35" s="8">
        <v>22923</v>
      </c>
      <c r="N35" s="5"/>
      <c r="O35" s="5"/>
      <c r="P35" s="5"/>
      <c r="Q35" s="5"/>
      <c r="R35" s="5"/>
      <c r="S35" s="9"/>
      <c r="T35" s="8"/>
      <c r="U35" s="8"/>
      <c r="V35" s="5"/>
      <c r="W35" s="5"/>
    </row>
    <row r="36" spans="1:23" ht="15" customHeight="1">
      <c r="A36" s="2"/>
      <c r="B36" s="3" t="s">
        <v>140</v>
      </c>
      <c r="C36" s="2"/>
      <c r="D36" s="2"/>
      <c r="E36" s="6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" customHeight="1" outlineLevel="1">
      <c r="A37" s="4" t="s">
        <v>141</v>
      </c>
      <c r="B37" s="15"/>
      <c r="C37" s="15" t="s">
        <v>53</v>
      </c>
      <c r="D37" s="15" t="s">
        <v>142</v>
      </c>
      <c r="E37" s="16">
        <v>46055</v>
      </c>
      <c r="F37" s="15" t="s">
        <v>30</v>
      </c>
      <c r="G37" s="15" t="s">
        <v>28</v>
      </c>
      <c r="H37" s="16" t="s">
        <v>143</v>
      </c>
      <c r="I37" s="15" t="s">
        <v>144</v>
      </c>
      <c r="J37" s="17" t="s">
        <v>145</v>
      </c>
      <c r="K37" s="18" t="str">
        <f>IF(J37="Won","✔","")</f>
        <v/>
      </c>
      <c r="L37" s="15" t="s">
        <v>56</v>
      </c>
      <c r="M37" s="19">
        <v>102519</v>
      </c>
      <c r="N37" s="15"/>
      <c r="O37" s="15"/>
      <c r="P37" s="15"/>
      <c r="Q37" s="15" t="s">
        <v>146</v>
      </c>
      <c r="R37" s="15"/>
      <c r="S37" s="17"/>
      <c r="T37" s="19"/>
      <c r="U37" s="19"/>
      <c r="V37" s="15"/>
      <c r="W37" s="15"/>
    </row>
    <row r="38" spans="1:23" ht="15" customHeight="1" outlineLevel="1">
      <c r="A38" s="4" t="s">
        <v>147</v>
      </c>
      <c r="B38" s="10" t="s">
        <v>43</v>
      </c>
      <c r="C38" s="10" t="s">
        <v>53</v>
      </c>
      <c r="D38" s="10" t="s">
        <v>148</v>
      </c>
      <c r="E38" s="11">
        <v>46055</v>
      </c>
      <c r="F38" s="10" t="s">
        <v>149</v>
      </c>
      <c r="G38" s="10" t="s">
        <v>28</v>
      </c>
      <c r="H38" s="11" t="s">
        <v>143</v>
      </c>
      <c r="I38" s="10" t="s">
        <v>144</v>
      </c>
      <c r="J38" s="12" t="s">
        <v>37</v>
      </c>
      <c r="K38" s="13" t="str">
        <f>IF(J38="Won","✔","")</f>
        <v/>
      </c>
      <c r="L38" s="10" t="s">
        <v>150</v>
      </c>
      <c r="M38" s="14">
        <v>91705</v>
      </c>
      <c r="N38" s="10"/>
      <c r="O38" s="10"/>
      <c r="P38" s="10"/>
      <c r="Q38" s="10"/>
      <c r="R38" s="10"/>
      <c r="S38" s="12"/>
      <c r="T38" s="14"/>
      <c r="U38" s="14"/>
      <c r="V38" s="10"/>
      <c r="W38" s="10"/>
    </row>
    <row r="39" spans="1:23" ht="15" customHeight="1" outlineLevel="1">
      <c r="A39" s="4" t="s">
        <v>151</v>
      </c>
      <c r="B39" s="10"/>
      <c r="C39" s="10" t="s">
        <v>152</v>
      </c>
      <c r="D39" s="10" t="s">
        <v>148</v>
      </c>
      <c r="E39" s="11">
        <v>46057</v>
      </c>
      <c r="F39" s="10" t="s">
        <v>149</v>
      </c>
      <c r="G39" s="10" t="s">
        <v>28</v>
      </c>
      <c r="H39" s="11" t="s">
        <v>143</v>
      </c>
      <c r="I39" s="10" t="s">
        <v>30</v>
      </c>
      <c r="J39" s="12" t="s">
        <v>37</v>
      </c>
      <c r="K39" s="13" t="str">
        <f>IF(J39="Won","✔","")</f>
        <v/>
      </c>
      <c r="L39" s="10" t="s">
        <v>150</v>
      </c>
      <c r="M39" s="14">
        <v>99349</v>
      </c>
      <c r="N39" s="10"/>
      <c r="O39" s="10"/>
      <c r="P39" s="10"/>
      <c r="Q39" s="10"/>
      <c r="R39" s="10"/>
      <c r="S39" s="12"/>
      <c r="T39" s="14"/>
      <c r="U39" s="14"/>
      <c r="V39" s="10"/>
      <c r="W39" s="10"/>
    </row>
    <row r="40" spans="1:23" ht="15" customHeight="1" outlineLevel="1">
      <c r="A40" s="4" t="s">
        <v>153</v>
      </c>
      <c r="B40" s="10"/>
      <c r="C40" s="10" t="s">
        <v>73</v>
      </c>
      <c r="D40" s="10" t="s">
        <v>148</v>
      </c>
      <c r="E40" s="11">
        <v>46058</v>
      </c>
      <c r="F40" s="10" t="s">
        <v>149</v>
      </c>
      <c r="G40" s="10" t="s">
        <v>28</v>
      </c>
      <c r="H40" s="11" t="s">
        <v>143</v>
      </c>
      <c r="I40" s="10" t="s">
        <v>30</v>
      </c>
      <c r="J40" s="12" t="s">
        <v>37</v>
      </c>
      <c r="K40" s="13" t="str">
        <f>IF(J40="Won","✔","")</f>
        <v/>
      </c>
      <c r="L40" s="10" t="s">
        <v>150</v>
      </c>
      <c r="M40" s="14">
        <v>99349</v>
      </c>
      <c r="N40" s="10"/>
      <c r="O40" s="10"/>
      <c r="P40" s="10"/>
      <c r="Q40" s="10"/>
      <c r="R40" s="10"/>
      <c r="S40" s="12"/>
      <c r="T40" s="14"/>
      <c r="U40" s="14"/>
      <c r="V40" s="10"/>
      <c r="W40" s="10"/>
    </row>
    <row r="41" spans="1:23" ht="15" customHeight="1" outlineLevel="1">
      <c r="A41" s="4" t="s">
        <v>154</v>
      </c>
      <c r="B41" s="10" t="s">
        <v>155</v>
      </c>
      <c r="C41" s="10" t="s">
        <v>53</v>
      </c>
      <c r="D41" s="10" t="s">
        <v>156</v>
      </c>
      <c r="E41" s="11">
        <v>46059</v>
      </c>
      <c r="F41" s="10" t="s">
        <v>149</v>
      </c>
      <c r="G41" s="10" t="s">
        <v>35</v>
      </c>
      <c r="H41" s="11" t="s">
        <v>157</v>
      </c>
      <c r="I41" s="10" t="s">
        <v>144</v>
      </c>
      <c r="J41" s="12" t="s">
        <v>37</v>
      </c>
      <c r="K41" s="13" t="str">
        <f>IF(J41="Won","✔","")</f>
        <v/>
      </c>
      <c r="L41" s="10" t="s">
        <v>51</v>
      </c>
      <c r="M41" s="14">
        <v>102814</v>
      </c>
      <c r="N41" s="10"/>
      <c r="O41" s="10"/>
      <c r="P41" s="10"/>
      <c r="Q41" s="10" t="s">
        <v>158</v>
      </c>
      <c r="R41" s="10"/>
      <c r="S41" s="12"/>
      <c r="T41" s="14"/>
      <c r="U41" s="14"/>
      <c r="V41" s="10"/>
      <c r="W41" s="10"/>
    </row>
    <row r="42" spans="1:23" ht="15" customHeight="1" outlineLevel="1">
      <c r="A42" s="4" t="s">
        <v>159</v>
      </c>
      <c r="B42" s="5"/>
      <c r="C42" s="5" t="s">
        <v>102</v>
      </c>
      <c r="D42" s="5" t="s">
        <v>160</v>
      </c>
      <c r="E42" s="6">
        <v>46059</v>
      </c>
      <c r="F42" s="5" t="s">
        <v>30</v>
      </c>
      <c r="G42" s="5" t="s">
        <v>28</v>
      </c>
      <c r="H42" s="6" t="s">
        <v>127</v>
      </c>
      <c r="I42" s="5" t="s">
        <v>30</v>
      </c>
      <c r="J42" s="7" t="s">
        <v>31</v>
      </c>
      <c r="K42" s="7" t="str">
        <f>IF(J42="Won","✔","")</f>
        <v>✔</v>
      </c>
      <c r="L42" s="5"/>
      <c r="M42" s="8">
        <v>8057</v>
      </c>
      <c r="N42" s="5"/>
      <c r="O42" s="5"/>
      <c r="P42" s="5"/>
      <c r="Q42" s="5"/>
      <c r="R42" s="5"/>
      <c r="S42" s="9"/>
      <c r="T42" s="8"/>
      <c r="U42" s="8"/>
      <c r="V42" s="5"/>
      <c r="W42" s="5"/>
    </row>
    <row r="43" spans="1:23" ht="15" customHeight="1" outlineLevel="1">
      <c r="A43" s="4" t="s">
        <v>161</v>
      </c>
      <c r="B43" s="10"/>
      <c r="C43" s="10" t="s">
        <v>53</v>
      </c>
      <c r="D43" s="10" t="s">
        <v>162</v>
      </c>
      <c r="E43" s="11">
        <v>46063</v>
      </c>
      <c r="F43" s="10" t="s">
        <v>163</v>
      </c>
      <c r="G43" s="10" t="s">
        <v>35</v>
      </c>
      <c r="H43" s="11" t="s">
        <v>164</v>
      </c>
      <c r="I43" s="10" t="s">
        <v>144</v>
      </c>
      <c r="J43" s="12" t="s">
        <v>37</v>
      </c>
      <c r="K43" s="13" t="str">
        <f>IF(J43="Won","✔","")</f>
        <v/>
      </c>
      <c r="L43" s="10" t="s">
        <v>165</v>
      </c>
      <c r="M43" s="14">
        <v>51640</v>
      </c>
      <c r="N43" s="10"/>
      <c r="O43" s="10"/>
      <c r="P43" s="10"/>
      <c r="Q43" s="10"/>
      <c r="R43" s="10"/>
      <c r="S43" s="12"/>
      <c r="T43" s="14"/>
      <c r="U43" s="14"/>
      <c r="V43" s="10"/>
      <c r="W43" s="10"/>
    </row>
    <row r="44" spans="1:23" ht="15" customHeight="1" outlineLevel="1">
      <c r="A44" s="4" t="s">
        <v>166</v>
      </c>
      <c r="B44" s="10"/>
      <c r="C44" s="10" t="s">
        <v>124</v>
      </c>
      <c r="D44" s="10" t="s">
        <v>167</v>
      </c>
      <c r="E44" s="11">
        <v>46062</v>
      </c>
      <c r="F44" s="10" t="s">
        <v>42</v>
      </c>
      <c r="G44" s="10" t="s">
        <v>28</v>
      </c>
      <c r="H44" s="11" t="s">
        <v>164</v>
      </c>
      <c r="I44" s="10" t="s">
        <v>30</v>
      </c>
      <c r="J44" s="12" t="s">
        <v>37</v>
      </c>
      <c r="K44" s="13" t="str">
        <f>IF(J44="Won","✔","")</f>
        <v/>
      </c>
      <c r="L44" s="10" t="s">
        <v>168</v>
      </c>
      <c r="M44" s="14">
        <v>8454</v>
      </c>
      <c r="N44" s="10"/>
      <c r="O44" s="10"/>
      <c r="P44" s="10"/>
      <c r="Q44" s="10"/>
      <c r="R44" s="10"/>
      <c r="S44" s="12"/>
      <c r="T44" s="14"/>
      <c r="U44" s="14"/>
      <c r="V44" s="10"/>
      <c r="W44" s="10"/>
    </row>
    <row r="45" spans="1:23" ht="15" customHeight="1" outlineLevel="1">
      <c r="A45" s="4" t="s">
        <v>169</v>
      </c>
      <c r="B45" s="10"/>
      <c r="C45" s="10" t="s">
        <v>170</v>
      </c>
      <c r="D45" s="10" t="s">
        <v>171</v>
      </c>
      <c r="E45" s="11">
        <v>46063</v>
      </c>
      <c r="F45" s="10" t="s">
        <v>42</v>
      </c>
      <c r="G45" s="10" t="s">
        <v>28</v>
      </c>
      <c r="H45" s="11" t="s">
        <v>172</v>
      </c>
      <c r="I45" s="10" t="s">
        <v>30</v>
      </c>
      <c r="J45" s="12" t="s">
        <v>37</v>
      </c>
      <c r="K45" s="13" t="str">
        <f>IF(J45="Won","✔","")</f>
        <v/>
      </c>
      <c r="L45" s="10"/>
      <c r="M45" s="14">
        <v>9099</v>
      </c>
      <c r="N45" s="10"/>
      <c r="O45" s="10"/>
      <c r="P45" s="10"/>
      <c r="Q45" s="10"/>
      <c r="R45" s="10"/>
      <c r="S45" s="12"/>
      <c r="T45" s="14"/>
      <c r="U45" s="14"/>
      <c r="V45" s="10"/>
      <c r="W45" s="10"/>
    </row>
    <row r="46" spans="1:23" ht="15" customHeight="1" outlineLevel="1">
      <c r="A46" s="4" t="s">
        <v>173</v>
      </c>
      <c r="B46" s="10" t="s">
        <v>174</v>
      </c>
      <c r="C46" s="10" t="s">
        <v>25</v>
      </c>
      <c r="D46" s="10" t="s">
        <v>175</v>
      </c>
      <c r="E46" s="11">
        <v>46066</v>
      </c>
      <c r="F46" s="10" t="s">
        <v>149</v>
      </c>
      <c r="G46" s="10" t="s">
        <v>28</v>
      </c>
      <c r="H46" s="11" t="s">
        <v>176</v>
      </c>
      <c r="I46" s="10" t="s">
        <v>30</v>
      </c>
      <c r="J46" s="12" t="s">
        <v>37</v>
      </c>
      <c r="K46" s="13" t="str">
        <f>IF(J46="Won","✔","")</f>
        <v/>
      </c>
      <c r="L46" s="10" t="s">
        <v>51</v>
      </c>
      <c r="M46" s="14">
        <v>280677</v>
      </c>
      <c r="N46" s="10"/>
      <c r="O46" s="10"/>
      <c r="P46" s="10"/>
      <c r="Q46" s="10"/>
      <c r="R46" s="10"/>
      <c r="S46" s="12"/>
      <c r="T46" s="14"/>
      <c r="U46" s="14"/>
      <c r="V46" s="10"/>
      <c r="W46" s="10"/>
    </row>
    <row r="47" spans="1:23" ht="15" customHeight="1" outlineLevel="1">
      <c r="A47" s="4" t="s">
        <v>177</v>
      </c>
      <c r="B47" s="5"/>
      <c r="C47" s="5" t="s">
        <v>178</v>
      </c>
      <c r="D47" s="5" t="s">
        <v>179</v>
      </c>
      <c r="E47" s="6">
        <v>46066</v>
      </c>
      <c r="F47" s="5" t="s">
        <v>42</v>
      </c>
      <c r="G47" s="5" t="s">
        <v>28</v>
      </c>
      <c r="H47" s="6" t="s">
        <v>180</v>
      </c>
      <c r="I47" s="5" t="s">
        <v>30</v>
      </c>
      <c r="J47" s="7" t="s">
        <v>31</v>
      </c>
      <c r="K47" s="7" t="str">
        <f>IF(J47="Won","✔","")</f>
        <v>✔</v>
      </c>
      <c r="L47" s="5" t="s">
        <v>181</v>
      </c>
      <c r="M47" s="8">
        <v>5960</v>
      </c>
      <c r="N47" s="5"/>
      <c r="O47" s="5"/>
      <c r="P47" s="5"/>
      <c r="Q47" s="5"/>
      <c r="R47" s="5"/>
      <c r="S47" s="9"/>
      <c r="T47" s="8"/>
      <c r="U47" s="8"/>
      <c r="V47" s="5"/>
      <c r="W47" s="5"/>
    </row>
    <row r="48" spans="1:23" ht="15" customHeight="1" outlineLevel="1">
      <c r="A48" s="4" t="s">
        <v>182</v>
      </c>
      <c r="B48" s="10"/>
      <c r="C48" s="10" t="s">
        <v>102</v>
      </c>
      <c r="D48" s="10" t="s">
        <v>183</v>
      </c>
      <c r="E48" s="11">
        <v>46073</v>
      </c>
      <c r="F48" s="10" t="s">
        <v>42</v>
      </c>
      <c r="G48" s="10" t="s">
        <v>28</v>
      </c>
      <c r="H48" s="11"/>
      <c r="I48" s="10" t="s">
        <v>30</v>
      </c>
      <c r="J48" s="12" t="s">
        <v>31</v>
      </c>
      <c r="K48" s="13" t="str">
        <f>IF(J48="Won","✔","")</f>
        <v>✔</v>
      </c>
      <c r="L48" s="10"/>
      <c r="M48" s="14">
        <v>13731</v>
      </c>
      <c r="N48" s="10"/>
      <c r="O48" s="10"/>
      <c r="P48" s="10"/>
      <c r="Q48" s="10"/>
      <c r="R48" s="10"/>
      <c r="S48" s="12"/>
      <c r="T48" s="14"/>
      <c r="U48" s="14"/>
      <c r="V48" s="10"/>
      <c r="W48" s="10"/>
    </row>
    <row r="49" spans="1:23" ht="15" customHeight="1" outlineLevel="1">
      <c r="A49" s="4" t="s">
        <v>184</v>
      </c>
      <c r="B49" s="10"/>
      <c r="C49" s="10" t="s">
        <v>53</v>
      </c>
      <c r="D49" s="10" t="s">
        <v>185</v>
      </c>
      <c r="E49" s="11">
        <v>46075</v>
      </c>
      <c r="F49" s="10" t="s">
        <v>163</v>
      </c>
      <c r="G49" s="10" t="s">
        <v>35</v>
      </c>
      <c r="H49" s="11"/>
      <c r="I49" s="10" t="s">
        <v>144</v>
      </c>
      <c r="J49" s="12" t="s">
        <v>31</v>
      </c>
      <c r="K49" s="13" t="str">
        <f>IF(J49="Won","✔","")</f>
        <v>✔</v>
      </c>
      <c r="L49" s="10" t="s">
        <v>51</v>
      </c>
      <c r="M49" s="14">
        <v>9340</v>
      </c>
      <c r="N49" s="10"/>
      <c r="O49" s="10"/>
      <c r="P49" s="10"/>
      <c r="Q49" s="10"/>
      <c r="R49" s="10"/>
      <c r="S49" s="12"/>
      <c r="T49" s="14"/>
      <c r="U49" s="14"/>
      <c r="V49" s="10"/>
      <c r="W49" s="10"/>
    </row>
    <row r="50" spans="1:23" ht="15" customHeight="1" outlineLevel="1">
      <c r="A50" s="4" t="s">
        <v>186</v>
      </c>
      <c r="B50" s="10"/>
      <c r="C50" s="10" t="s">
        <v>73</v>
      </c>
      <c r="D50" s="10" t="s">
        <v>187</v>
      </c>
      <c r="E50" s="11">
        <v>46064</v>
      </c>
      <c r="F50" s="10" t="s">
        <v>30</v>
      </c>
      <c r="G50" s="10" t="s">
        <v>28</v>
      </c>
      <c r="H50" s="11"/>
      <c r="I50" s="10" t="s">
        <v>30</v>
      </c>
      <c r="J50" s="12" t="s">
        <v>37</v>
      </c>
      <c r="K50" s="13" t="str">
        <f>IF(J50="Won","✔","")</f>
        <v/>
      </c>
      <c r="L50" s="10" t="s">
        <v>188</v>
      </c>
      <c r="M50" s="14">
        <v>6024</v>
      </c>
      <c r="N50" s="10"/>
      <c r="O50" s="10"/>
      <c r="P50" s="10"/>
      <c r="Q50" s="10"/>
      <c r="R50" s="10"/>
      <c r="S50" s="12"/>
      <c r="T50" s="14"/>
      <c r="U50" s="14"/>
      <c r="V50" s="10"/>
      <c r="W50" s="10"/>
    </row>
    <row r="51" spans="1:23" ht="15" customHeight="1" outlineLevel="1">
      <c r="A51" s="4" t="s">
        <v>189</v>
      </c>
      <c r="B51" s="10"/>
      <c r="C51" s="10" t="s">
        <v>102</v>
      </c>
      <c r="D51" s="10" t="s">
        <v>190</v>
      </c>
      <c r="E51" s="11">
        <v>46064</v>
      </c>
      <c r="F51" s="10" t="s">
        <v>30</v>
      </c>
      <c r="G51" s="10" t="s">
        <v>28</v>
      </c>
      <c r="H51" s="11" t="s">
        <v>191</v>
      </c>
      <c r="I51" s="10" t="s">
        <v>30</v>
      </c>
      <c r="J51" s="12" t="s">
        <v>37</v>
      </c>
      <c r="K51" s="13" t="str">
        <f>IF(J51="Won","✔","")</f>
        <v/>
      </c>
      <c r="L51" s="10" t="s">
        <v>192</v>
      </c>
      <c r="M51" s="14">
        <v>14834</v>
      </c>
      <c r="N51" s="10"/>
      <c r="O51" s="10"/>
      <c r="P51" s="10"/>
      <c r="Q51" s="10"/>
      <c r="R51" s="10"/>
      <c r="S51" s="12"/>
      <c r="T51" s="14"/>
      <c r="U51" s="14"/>
      <c r="V51" s="10"/>
      <c r="W51" s="10"/>
    </row>
    <row r="52" spans="1:23" ht="15" customHeight="1" outlineLevel="1">
      <c r="A52" s="4" t="s">
        <v>193</v>
      </c>
      <c r="B52" s="5"/>
      <c r="C52" s="5" t="s">
        <v>53</v>
      </c>
      <c r="D52" s="5" t="s">
        <v>194</v>
      </c>
      <c r="E52" s="6">
        <v>46059</v>
      </c>
      <c r="F52" s="5" t="s">
        <v>163</v>
      </c>
      <c r="G52" s="5" t="s">
        <v>28</v>
      </c>
      <c r="H52" s="6" t="s">
        <v>127</v>
      </c>
      <c r="I52" s="5" t="s">
        <v>30</v>
      </c>
      <c r="J52" s="7" t="s">
        <v>31</v>
      </c>
      <c r="K52" s="7" t="str">
        <f>IF(J52="Won","✔","")</f>
        <v>✔</v>
      </c>
      <c r="L52" s="5" t="s">
        <v>51</v>
      </c>
      <c r="M52" s="8">
        <v>33285</v>
      </c>
      <c r="N52" s="5"/>
      <c r="O52" s="5"/>
      <c r="P52" s="5"/>
      <c r="Q52" s="5"/>
      <c r="R52" s="5"/>
      <c r="S52" s="9"/>
      <c r="T52" s="8"/>
      <c r="U52" s="8"/>
      <c r="V52" s="5"/>
      <c r="W52" s="5"/>
    </row>
    <row r="53" spans="1:23" ht="15" customHeight="1" outlineLevel="1">
      <c r="A53" s="4" t="s">
        <v>195</v>
      </c>
      <c r="B53" s="5"/>
      <c r="C53" s="5" t="s">
        <v>196</v>
      </c>
      <c r="D53" s="5" t="s">
        <v>197</v>
      </c>
      <c r="E53" s="6">
        <v>46066</v>
      </c>
      <c r="F53" s="5" t="s">
        <v>30</v>
      </c>
      <c r="G53" s="5" t="s">
        <v>28</v>
      </c>
      <c r="H53" s="6" t="s">
        <v>176</v>
      </c>
      <c r="I53" s="5" t="s">
        <v>30</v>
      </c>
      <c r="J53" s="7" t="s">
        <v>31</v>
      </c>
      <c r="K53" s="7" t="str">
        <f>IF(J53="Won","✔","")</f>
        <v>✔</v>
      </c>
      <c r="L53" s="5"/>
      <c r="M53" s="8">
        <v>4593</v>
      </c>
      <c r="N53" s="5"/>
      <c r="O53" s="5"/>
      <c r="P53" s="5"/>
      <c r="Q53" s="5"/>
      <c r="R53" s="5"/>
      <c r="S53" s="9"/>
      <c r="T53" s="8"/>
      <c r="U53" s="8"/>
      <c r="V53" s="5"/>
      <c r="W53" s="5"/>
    </row>
    <row r="54" spans="1:23" ht="15" customHeight="1" outlineLevel="1">
      <c r="A54" s="4" t="s">
        <v>198</v>
      </c>
      <c r="B54" s="10"/>
      <c r="C54" s="10" t="s">
        <v>73</v>
      </c>
      <c r="D54" s="10" t="s">
        <v>199</v>
      </c>
      <c r="E54" s="11">
        <v>46069</v>
      </c>
      <c r="F54" s="10" t="s">
        <v>30</v>
      </c>
      <c r="G54" s="10" t="s">
        <v>35</v>
      </c>
      <c r="H54" s="11" t="s">
        <v>200</v>
      </c>
      <c r="I54" s="10" t="s">
        <v>30</v>
      </c>
      <c r="J54" s="12" t="s">
        <v>37</v>
      </c>
      <c r="K54" s="13" t="str">
        <f>IF(J54="Won","✔","")</f>
        <v/>
      </c>
      <c r="L54" s="10"/>
      <c r="M54" s="14">
        <v>7990</v>
      </c>
      <c r="N54" s="10"/>
      <c r="O54" s="10"/>
      <c r="P54" s="10"/>
      <c r="Q54" s="10"/>
      <c r="R54" s="10"/>
      <c r="S54" s="12"/>
      <c r="T54" s="14"/>
      <c r="U54" s="14"/>
      <c r="V54" s="10"/>
      <c r="W54" s="10"/>
    </row>
    <row r="55" spans="1:23" ht="15" customHeight="1" outlineLevel="1">
      <c r="A55" s="4" t="s">
        <v>201</v>
      </c>
      <c r="B55" s="10"/>
      <c r="C55" s="10" t="s">
        <v>202</v>
      </c>
      <c r="D55" s="10" t="s">
        <v>203</v>
      </c>
      <c r="E55" s="11">
        <v>46076</v>
      </c>
      <c r="F55" s="10" t="s">
        <v>30</v>
      </c>
      <c r="G55" s="10" t="s">
        <v>28</v>
      </c>
      <c r="H55" s="11" t="s">
        <v>200</v>
      </c>
      <c r="I55" s="10" t="s">
        <v>30</v>
      </c>
      <c r="J55" s="12" t="s">
        <v>145</v>
      </c>
      <c r="K55" s="13" t="str">
        <f>IF(J55="Won","✔","")</f>
        <v/>
      </c>
      <c r="L55" s="10" t="s">
        <v>168</v>
      </c>
      <c r="M55" s="14">
        <v>60849</v>
      </c>
      <c r="N55" s="10"/>
      <c r="O55" s="10"/>
      <c r="P55" s="10"/>
      <c r="Q55" s="10"/>
      <c r="R55" s="10"/>
      <c r="S55" s="12"/>
      <c r="T55" s="14"/>
      <c r="U55" s="14"/>
      <c r="V55" s="10"/>
      <c r="W55" s="10"/>
    </row>
    <row r="56" spans="1:23" ht="15" customHeight="1" outlineLevel="1">
      <c r="A56" s="4" t="s">
        <v>204</v>
      </c>
      <c r="B56" s="10"/>
      <c r="C56" s="10" t="s">
        <v>105</v>
      </c>
      <c r="D56" s="10" t="s">
        <v>205</v>
      </c>
      <c r="E56" s="11">
        <v>46070</v>
      </c>
      <c r="F56" s="10" t="s">
        <v>206</v>
      </c>
      <c r="G56" s="10" t="s">
        <v>28</v>
      </c>
      <c r="H56" s="11" t="s">
        <v>207</v>
      </c>
      <c r="I56" s="10" t="s">
        <v>30</v>
      </c>
      <c r="J56" s="12" t="s">
        <v>37</v>
      </c>
      <c r="K56" s="13" t="str">
        <f>IF(J56="Won","✔","")</f>
        <v/>
      </c>
      <c r="L56" s="10" t="s">
        <v>92</v>
      </c>
      <c r="M56" s="14">
        <v>15945</v>
      </c>
      <c r="N56" s="10"/>
      <c r="O56" s="10"/>
      <c r="P56" s="10"/>
      <c r="Q56" s="10"/>
      <c r="R56" s="10"/>
      <c r="S56" s="12"/>
      <c r="T56" s="14"/>
      <c r="U56" s="14"/>
      <c r="V56" s="10"/>
      <c r="W56" s="10"/>
    </row>
    <row r="57" spans="1:23" ht="15" customHeight="1" outlineLevel="1">
      <c r="A57" s="4" t="s">
        <v>208</v>
      </c>
      <c r="B57" s="10"/>
      <c r="C57" s="10" t="s">
        <v>102</v>
      </c>
      <c r="D57" s="10" t="s">
        <v>209</v>
      </c>
      <c r="E57" s="11">
        <v>46066</v>
      </c>
      <c r="F57" s="10" t="s">
        <v>30</v>
      </c>
      <c r="G57" s="10" t="s">
        <v>28</v>
      </c>
      <c r="H57" s="11" t="s">
        <v>176</v>
      </c>
      <c r="I57" s="10" t="s">
        <v>30</v>
      </c>
      <c r="J57" s="12" t="s">
        <v>37</v>
      </c>
      <c r="K57" s="13" t="str">
        <f>IF(J57="Won","✔","")</f>
        <v/>
      </c>
      <c r="L57" s="10" t="s">
        <v>119</v>
      </c>
      <c r="M57" s="14">
        <v>12412</v>
      </c>
      <c r="N57" s="10"/>
      <c r="O57" s="10"/>
      <c r="P57" s="10"/>
      <c r="Q57" s="10"/>
      <c r="R57" s="10"/>
      <c r="S57" s="12"/>
      <c r="T57" s="14"/>
      <c r="U57" s="14"/>
      <c r="V57" s="10"/>
      <c r="W57" s="10"/>
    </row>
    <row r="58" spans="1:23" ht="15" customHeight="1" outlineLevel="1">
      <c r="A58" s="4" t="s">
        <v>210</v>
      </c>
      <c r="B58" s="10"/>
      <c r="C58" s="10" t="s">
        <v>211</v>
      </c>
      <c r="D58" s="10" t="s">
        <v>212</v>
      </c>
      <c r="E58" s="11">
        <v>46069</v>
      </c>
      <c r="F58" s="10" t="s">
        <v>30</v>
      </c>
      <c r="G58" s="10" t="s">
        <v>28</v>
      </c>
      <c r="H58" s="11" t="s">
        <v>207</v>
      </c>
      <c r="I58" s="10" t="s">
        <v>30</v>
      </c>
      <c r="J58" s="12" t="s">
        <v>37</v>
      </c>
      <c r="K58" s="13" t="str">
        <f>IF(J58="Won","✔","")</f>
        <v/>
      </c>
      <c r="L58" s="10" t="s">
        <v>213</v>
      </c>
      <c r="M58" s="14">
        <v>4968</v>
      </c>
      <c r="N58" s="10"/>
      <c r="O58" s="10"/>
      <c r="P58" s="10"/>
      <c r="Q58" s="10"/>
      <c r="R58" s="10"/>
      <c r="S58" s="12"/>
      <c r="T58" s="14"/>
      <c r="U58" s="14"/>
      <c r="V58" s="10"/>
      <c r="W58" s="10"/>
    </row>
    <row r="59" spans="1:23" ht="15" customHeight="1" outlineLevel="1">
      <c r="A59" s="4" t="s">
        <v>214</v>
      </c>
      <c r="B59" s="10"/>
      <c r="C59" s="10" t="s">
        <v>211</v>
      </c>
      <c r="D59" s="10" t="s">
        <v>215</v>
      </c>
      <c r="E59" s="11">
        <v>46069</v>
      </c>
      <c r="F59" s="10" t="s">
        <v>30</v>
      </c>
      <c r="G59" s="10" t="s">
        <v>28</v>
      </c>
      <c r="H59" s="11" t="s">
        <v>207</v>
      </c>
      <c r="I59" s="10" t="s">
        <v>30</v>
      </c>
      <c r="J59" s="12" t="s">
        <v>37</v>
      </c>
      <c r="K59" s="13" t="str">
        <f>IF(J59="Won","✔","")</f>
        <v/>
      </c>
      <c r="L59" s="10" t="s">
        <v>213</v>
      </c>
      <c r="M59" s="14">
        <v>1150</v>
      </c>
      <c r="N59" s="10"/>
      <c r="O59" s="10"/>
      <c r="P59" s="10"/>
      <c r="Q59" s="10"/>
      <c r="R59" s="10"/>
      <c r="S59" s="12"/>
      <c r="T59" s="14"/>
      <c r="U59" s="14"/>
      <c r="V59" s="10"/>
      <c r="W59" s="10"/>
    </row>
    <row r="60" spans="1:23" ht="15" customHeight="1" outlineLevel="1">
      <c r="A60" s="4" t="s">
        <v>216</v>
      </c>
      <c r="B60" s="10"/>
      <c r="C60" s="10" t="s">
        <v>53</v>
      </c>
      <c r="D60" s="10" t="s">
        <v>217</v>
      </c>
      <c r="E60" s="11">
        <v>46073</v>
      </c>
      <c r="F60" s="10" t="s">
        <v>30</v>
      </c>
      <c r="G60" s="10" t="s">
        <v>126</v>
      </c>
      <c r="H60" s="11"/>
      <c r="I60" s="10" t="s">
        <v>30</v>
      </c>
      <c r="J60" s="12" t="s">
        <v>37</v>
      </c>
      <c r="K60" s="13" t="str">
        <f>IF(J60="Won","✔","")</f>
        <v/>
      </c>
      <c r="L60" s="10" t="s">
        <v>218</v>
      </c>
      <c r="M60" s="14">
        <v>14000</v>
      </c>
      <c r="N60" s="10"/>
      <c r="O60" s="10"/>
      <c r="P60" s="10"/>
      <c r="Q60" s="10"/>
      <c r="R60" s="10"/>
      <c r="S60" s="12"/>
      <c r="T60" s="14"/>
      <c r="U60" s="14"/>
      <c r="V60" s="10"/>
      <c r="W60" s="10"/>
    </row>
    <row r="61" spans="1:23" ht="15" customHeight="1" outlineLevel="1">
      <c r="A61" s="4" t="s">
        <v>219</v>
      </c>
      <c r="B61" s="10"/>
      <c r="C61" s="10" t="s">
        <v>102</v>
      </c>
      <c r="D61" s="10" t="s">
        <v>220</v>
      </c>
      <c r="E61" s="11">
        <v>46073</v>
      </c>
      <c r="F61" s="10" t="s">
        <v>30</v>
      </c>
      <c r="G61" s="10" t="s">
        <v>28</v>
      </c>
      <c r="H61" s="11" t="s">
        <v>221</v>
      </c>
      <c r="I61" s="10" t="s">
        <v>30</v>
      </c>
      <c r="J61" s="12" t="s">
        <v>37</v>
      </c>
      <c r="K61" s="13" t="str">
        <f>IF(J61="Won","✔","")</f>
        <v/>
      </c>
      <c r="L61" s="10" t="s">
        <v>119</v>
      </c>
      <c r="M61" s="14">
        <v>9224</v>
      </c>
      <c r="N61" s="10"/>
      <c r="O61" s="10"/>
      <c r="P61" s="10"/>
      <c r="Q61" s="10"/>
      <c r="R61" s="10"/>
      <c r="S61" s="12"/>
      <c r="T61" s="14"/>
      <c r="U61" s="14"/>
      <c r="V61" s="10"/>
      <c r="W61" s="10"/>
    </row>
    <row r="62" spans="1:23" ht="15" customHeight="1" outlineLevel="1">
      <c r="A62" s="4" t="s">
        <v>222</v>
      </c>
      <c r="B62" s="5"/>
      <c r="C62" s="5" t="s">
        <v>108</v>
      </c>
      <c r="D62" s="5" t="s">
        <v>223</v>
      </c>
      <c r="E62" s="6">
        <v>46080</v>
      </c>
      <c r="F62" s="5" t="s">
        <v>30</v>
      </c>
      <c r="G62" s="5" t="s">
        <v>28</v>
      </c>
      <c r="H62" s="6" t="s">
        <v>224</v>
      </c>
      <c r="I62" s="5" t="s">
        <v>30</v>
      </c>
      <c r="J62" s="7" t="s">
        <v>31</v>
      </c>
      <c r="K62" s="7" t="str">
        <f>IF(J62="Won","✔","")</f>
        <v>✔</v>
      </c>
      <c r="L62" s="5" t="s">
        <v>119</v>
      </c>
      <c r="M62" s="8">
        <v>36209</v>
      </c>
      <c r="N62" s="5"/>
      <c r="O62" s="5"/>
      <c r="P62" s="5"/>
      <c r="Q62" s="5"/>
      <c r="R62" s="5"/>
      <c r="S62" s="9"/>
      <c r="T62" s="8"/>
      <c r="U62" s="8"/>
      <c r="V62" s="5"/>
      <c r="W62" s="5"/>
    </row>
    <row r="63" spans="1:23" ht="15" customHeight="1" outlineLevel="1">
      <c r="A63" s="4" t="s">
        <v>225</v>
      </c>
      <c r="B63" s="10"/>
      <c r="C63" s="10" t="s">
        <v>102</v>
      </c>
      <c r="D63" s="10" t="s">
        <v>226</v>
      </c>
      <c r="E63" s="11">
        <v>46080</v>
      </c>
      <c r="F63" s="10" t="s">
        <v>30</v>
      </c>
      <c r="G63" s="10" t="s">
        <v>28</v>
      </c>
      <c r="H63" s="11" t="s">
        <v>227</v>
      </c>
      <c r="I63" s="10" t="s">
        <v>30</v>
      </c>
      <c r="J63" s="12" t="s">
        <v>37</v>
      </c>
      <c r="K63" s="13" t="str">
        <f>IF(J63="Won","✔","")</f>
        <v/>
      </c>
      <c r="L63" s="10" t="s">
        <v>51</v>
      </c>
      <c r="M63" s="14">
        <v>23410</v>
      </c>
      <c r="N63" s="10"/>
      <c r="O63" s="10"/>
      <c r="P63" s="10"/>
      <c r="Q63" s="10"/>
      <c r="R63" s="10"/>
      <c r="S63" s="12"/>
      <c r="T63" s="14"/>
      <c r="U63" s="14"/>
      <c r="V63" s="10"/>
      <c r="W63" s="10"/>
    </row>
    <row r="64" spans="1:23" ht="15" customHeight="1">
      <c r="A64" s="2"/>
      <c r="B64" s="3" t="s">
        <v>228</v>
      </c>
      <c r="C64" s="2"/>
      <c r="D64" s="2"/>
      <c r="E64" s="6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" customHeight="1" outlineLevel="1">
      <c r="A65" s="4" t="s">
        <v>229</v>
      </c>
      <c r="B65" s="10" t="s">
        <v>230</v>
      </c>
      <c r="C65" s="10" t="s">
        <v>108</v>
      </c>
      <c r="D65" s="10" t="s">
        <v>231</v>
      </c>
      <c r="E65" s="11">
        <v>46083</v>
      </c>
      <c r="F65" s="10" t="s">
        <v>27</v>
      </c>
      <c r="G65" s="10" t="s">
        <v>28</v>
      </c>
      <c r="H65" s="11" t="s">
        <v>232</v>
      </c>
      <c r="I65" s="10" t="s">
        <v>30</v>
      </c>
      <c r="J65" s="12" t="s">
        <v>37</v>
      </c>
      <c r="K65" s="13" t="str">
        <f>IF(J65="Won","✔","")</f>
        <v/>
      </c>
      <c r="L65" s="10" t="s">
        <v>233</v>
      </c>
      <c r="M65" s="14">
        <v>31283</v>
      </c>
      <c r="N65" s="10"/>
      <c r="O65" s="10"/>
      <c r="P65" s="10"/>
      <c r="Q65" s="10"/>
      <c r="R65" s="10"/>
      <c r="S65" s="12"/>
      <c r="T65" s="14"/>
      <c r="U65" s="14"/>
      <c r="V65" s="10"/>
      <c r="W65" s="10"/>
    </row>
    <row r="66" spans="1:23" ht="15" customHeight="1" outlineLevel="1">
      <c r="A66" s="4" t="s">
        <v>234</v>
      </c>
      <c r="B66" s="10" t="s">
        <v>232</v>
      </c>
      <c r="C66" s="10" t="s">
        <v>235</v>
      </c>
      <c r="D66" s="10" t="s">
        <v>236</v>
      </c>
      <c r="E66" s="11">
        <v>46091</v>
      </c>
      <c r="F66" s="10" t="s">
        <v>27</v>
      </c>
      <c r="G66" s="10" t="s">
        <v>28</v>
      </c>
      <c r="H66" s="11" t="s">
        <v>237</v>
      </c>
      <c r="I66" s="10" t="s">
        <v>238</v>
      </c>
      <c r="J66" s="12" t="s">
        <v>37</v>
      </c>
      <c r="K66" s="13" t="str">
        <f>IF(J66="Won","✔","")</f>
        <v/>
      </c>
      <c r="L66" s="10" t="s">
        <v>86</v>
      </c>
      <c r="M66" s="14">
        <v>709104</v>
      </c>
      <c r="N66" s="10"/>
      <c r="O66" s="10"/>
      <c r="P66" s="10"/>
      <c r="Q66" s="10"/>
      <c r="R66" s="10"/>
      <c r="S66" s="12"/>
      <c r="T66" s="14"/>
      <c r="U66" s="14"/>
      <c r="V66" s="10"/>
      <c r="W66" s="10"/>
    </row>
    <row r="67" spans="1:23" ht="15" customHeight="1" outlineLevel="1">
      <c r="A67" s="4" t="s">
        <v>239</v>
      </c>
      <c r="B67" s="10" t="s">
        <v>240</v>
      </c>
      <c r="C67" s="10" t="s">
        <v>241</v>
      </c>
      <c r="D67" s="10" t="s">
        <v>236</v>
      </c>
      <c r="E67" s="11">
        <v>46091</v>
      </c>
      <c r="F67" s="10" t="s">
        <v>27</v>
      </c>
      <c r="G67" s="10" t="s">
        <v>28</v>
      </c>
      <c r="H67" s="11" t="s">
        <v>237</v>
      </c>
      <c r="I67" s="10" t="s">
        <v>44</v>
      </c>
      <c r="J67" s="12" t="s">
        <v>37</v>
      </c>
      <c r="K67" s="13" t="str">
        <f>IF(J67="Won","✔","")</f>
        <v/>
      </c>
      <c r="L67" s="10" t="s">
        <v>86</v>
      </c>
      <c r="M67" s="14">
        <v>709104</v>
      </c>
      <c r="N67" s="10"/>
      <c r="O67" s="10"/>
      <c r="P67" s="10"/>
      <c r="Q67" s="10"/>
      <c r="R67" s="10"/>
      <c r="S67" s="12"/>
      <c r="T67" s="14"/>
      <c r="U67" s="14"/>
      <c r="V67" s="10"/>
      <c r="W67" s="10"/>
    </row>
    <row r="68" spans="1:23" ht="15" customHeight="1" outlineLevel="1">
      <c r="A68" s="4" t="s">
        <v>242</v>
      </c>
      <c r="B68" s="10" t="s">
        <v>243</v>
      </c>
      <c r="C68" s="10" t="s">
        <v>108</v>
      </c>
      <c r="D68" s="10" t="s">
        <v>236</v>
      </c>
      <c r="E68" s="11">
        <v>46091</v>
      </c>
      <c r="F68" s="10" t="s">
        <v>27</v>
      </c>
      <c r="G68" s="10" t="s">
        <v>28</v>
      </c>
      <c r="H68" s="11" t="s">
        <v>237</v>
      </c>
      <c r="I68" s="10" t="s">
        <v>44</v>
      </c>
      <c r="J68" s="12" t="s">
        <v>37</v>
      </c>
      <c r="K68" s="13" t="str">
        <f>IF(J68="Won","✔","")</f>
        <v/>
      </c>
      <c r="L68" s="10" t="s">
        <v>86</v>
      </c>
      <c r="M68" s="14">
        <v>641981</v>
      </c>
      <c r="N68" s="10"/>
      <c r="O68" s="10"/>
      <c r="P68" s="10"/>
      <c r="Q68" s="10"/>
      <c r="R68" s="10"/>
      <c r="S68" s="12"/>
      <c r="T68" s="14"/>
      <c r="U68" s="14"/>
      <c r="V68" s="10"/>
      <c r="W68" s="10"/>
    </row>
    <row r="69" spans="1:23" ht="15" customHeight="1" outlineLevel="1">
      <c r="A69" s="4" t="s">
        <v>244</v>
      </c>
      <c r="B69" s="10" t="s">
        <v>245</v>
      </c>
      <c r="C69" s="10" t="s">
        <v>129</v>
      </c>
      <c r="D69" s="10" t="s">
        <v>246</v>
      </c>
      <c r="E69" s="11">
        <v>46083</v>
      </c>
      <c r="F69" s="10" t="s">
        <v>42</v>
      </c>
      <c r="G69" s="10" t="s">
        <v>28</v>
      </c>
      <c r="H69" s="11"/>
      <c r="I69" s="10"/>
      <c r="J69" s="12" t="s">
        <v>37</v>
      </c>
      <c r="K69" s="13" t="str">
        <f>IF(J69="Won","✔","")</f>
        <v/>
      </c>
      <c r="L69" s="10"/>
      <c r="M69" s="14">
        <v>9850</v>
      </c>
      <c r="N69" s="10"/>
      <c r="O69" s="10"/>
      <c r="P69" s="10"/>
      <c r="Q69" s="10"/>
      <c r="R69" s="10"/>
      <c r="S69" s="12"/>
      <c r="T69" s="14"/>
      <c r="U69" s="14"/>
      <c r="V69" s="10"/>
      <c r="W69" s="10"/>
    </row>
    <row r="70" spans="1:23" ht="15" customHeight="1" outlineLevel="1">
      <c r="A70" s="4" t="s">
        <v>247</v>
      </c>
      <c r="B70" s="15" t="s">
        <v>248</v>
      </c>
      <c r="C70" s="15" t="s">
        <v>53</v>
      </c>
      <c r="D70" s="15" t="s">
        <v>249</v>
      </c>
      <c r="E70" s="16">
        <v>45727</v>
      </c>
      <c r="F70" s="15" t="s">
        <v>42</v>
      </c>
      <c r="G70" s="15" t="s">
        <v>28</v>
      </c>
      <c r="H70" s="16" t="s">
        <v>237</v>
      </c>
      <c r="I70" s="15" t="s">
        <v>144</v>
      </c>
      <c r="J70" s="17" t="s">
        <v>250</v>
      </c>
      <c r="K70" s="18" t="str">
        <f>IF(J70="Won","✔","")</f>
        <v/>
      </c>
      <c r="L70" s="15"/>
      <c r="M70" s="19">
        <v>139732</v>
      </c>
      <c r="N70" s="15"/>
      <c r="O70" s="15"/>
      <c r="P70" s="15"/>
      <c r="Q70" s="15"/>
      <c r="R70" s="15"/>
      <c r="S70" s="17"/>
      <c r="T70" s="19"/>
      <c r="U70" s="19"/>
      <c r="V70" s="15"/>
      <c r="W70" s="15"/>
    </row>
    <row r="71" spans="1:23" ht="15" customHeight="1" outlineLevel="1">
      <c r="A71" s="4" t="s">
        <v>251</v>
      </c>
      <c r="B71" s="15" t="s">
        <v>252</v>
      </c>
      <c r="C71" s="15" t="s">
        <v>53</v>
      </c>
      <c r="D71" s="15" t="s">
        <v>253</v>
      </c>
      <c r="E71" s="16">
        <v>46084</v>
      </c>
      <c r="F71" s="15" t="s">
        <v>42</v>
      </c>
      <c r="G71" s="15" t="s">
        <v>28</v>
      </c>
      <c r="H71" s="16" t="s">
        <v>240</v>
      </c>
      <c r="I71" s="15" t="s">
        <v>144</v>
      </c>
      <c r="J71" s="17" t="s">
        <v>250</v>
      </c>
      <c r="K71" s="18" t="str">
        <f>IF(J71="Won","✔","")</f>
        <v/>
      </c>
      <c r="L71" s="15" t="s">
        <v>254</v>
      </c>
      <c r="M71" s="19">
        <v>108196</v>
      </c>
      <c r="N71" s="15"/>
      <c r="O71" s="15"/>
      <c r="P71" s="15"/>
      <c r="Q71" s="15"/>
      <c r="R71" s="15"/>
      <c r="S71" s="17"/>
      <c r="T71" s="19"/>
      <c r="U71" s="19"/>
      <c r="V71" s="15"/>
      <c r="W71" s="15"/>
    </row>
    <row r="72" spans="1:23" ht="15" customHeight="1" outlineLevel="1">
      <c r="A72" s="4" t="s">
        <v>255</v>
      </c>
      <c r="B72" s="10" t="s">
        <v>256</v>
      </c>
      <c r="C72" s="10" t="s">
        <v>102</v>
      </c>
      <c r="D72" s="10" t="s">
        <v>257</v>
      </c>
      <c r="E72" s="11">
        <v>46085</v>
      </c>
      <c r="F72" s="10" t="s">
        <v>42</v>
      </c>
      <c r="G72" s="10" t="s">
        <v>28</v>
      </c>
      <c r="H72" s="11" t="s">
        <v>240</v>
      </c>
      <c r="I72" s="10" t="s">
        <v>30</v>
      </c>
      <c r="J72" s="12" t="s">
        <v>37</v>
      </c>
      <c r="K72" s="13" t="str">
        <f>IF(J72="Won","✔","")</f>
        <v/>
      </c>
      <c r="L72" s="10" t="s">
        <v>150</v>
      </c>
      <c r="M72" s="14">
        <v>87898</v>
      </c>
      <c r="N72" s="10"/>
      <c r="O72" s="10"/>
      <c r="P72" s="10"/>
      <c r="Q72" s="10"/>
      <c r="R72" s="10"/>
      <c r="S72" s="12"/>
      <c r="T72" s="14"/>
      <c r="U72" s="14"/>
      <c r="V72" s="10"/>
      <c r="W72" s="10"/>
    </row>
    <row r="73" spans="1:23" ht="15" customHeight="1" outlineLevel="1">
      <c r="A73" s="4" t="s">
        <v>258</v>
      </c>
      <c r="B73" s="10" t="s">
        <v>259</v>
      </c>
      <c r="C73" s="10" t="s">
        <v>102</v>
      </c>
      <c r="D73" s="10" t="s">
        <v>260</v>
      </c>
      <c r="E73" s="11">
        <v>46085</v>
      </c>
      <c r="F73" s="10" t="s">
        <v>42</v>
      </c>
      <c r="G73" s="10" t="s">
        <v>28</v>
      </c>
      <c r="H73" s="11" t="s">
        <v>243</v>
      </c>
      <c r="I73" s="10" t="s">
        <v>30</v>
      </c>
      <c r="J73" s="12" t="s">
        <v>37</v>
      </c>
      <c r="K73" s="13" t="str">
        <f>IF(J73="Won","✔","")</f>
        <v/>
      </c>
      <c r="L73" s="10" t="s">
        <v>51</v>
      </c>
      <c r="M73" s="14">
        <v>6836</v>
      </c>
      <c r="N73" s="10"/>
      <c r="O73" s="10"/>
      <c r="P73" s="10"/>
      <c r="Q73" s="10"/>
      <c r="R73" s="10"/>
      <c r="S73" s="12"/>
      <c r="T73" s="14"/>
      <c r="U73" s="14"/>
      <c r="V73" s="10"/>
      <c r="W73" s="10"/>
    </row>
    <row r="74" spans="1:23" ht="15" customHeight="1" outlineLevel="1">
      <c r="A74" s="4" t="s">
        <v>261</v>
      </c>
      <c r="B74" s="10" t="s">
        <v>262</v>
      </c>
      <c r="C74" s="10" t="s">
        <v>263</v>
      </c>
      <c r="D74" s="10" t="s">
        <v>264</v>
      </c>
      <c r="E74" s="11">
        <v>46085</v>
      </c>
      <c r="F74" s="10" t="s">
        <v>42</v>
      </c>
      <c r="G74" s="10" t="s">
        <v>28</v>
      </c>
      <c r="H74" s="11" t="s">
        <v>243</v>
      </c>
      <c r="I74" s="10" t="s">
        <v>44</v>
      </c>
      <c r="J74" s="12" t="s">
        <v>37</v>
      </c>
      <c r="K74" s="13" t="str">
        <f>IF(J74="Won","✔","")</f>
        <v/>
      </c>
      <c r="L74" s="10" t="s">
        <v>51</v>
      </c>
      <c r="M74" s="14">
        <v>17485</v>
      </c>
      <c r="N74" s="10"/>
      <c r="O74" s="10"/>
      <c r="P74" s="10"/>
      <c r="Q74" s="10"/>
      <c r="R74" s="10"/>
      <c r="S74" s="12"/>
      <c r="T74" s="14"/>
      <c r="U74" s="14"/>
      <c r="V74" s="10"/>
      <c r="W74" s="10"/>
    </row>
    <row r="75" spans="1:23" ht="15" customHeight="1" outlineLevel="1">
      <c r="A75" s="4" t="s">
        <v>265</v>
      </c>
      <c r="B75" s="10" t="s">
        <v>237</v>
      </c>
      <c r="C75" s="10" t="s">
        <v>266</v>
      </c>
      <c r="D75" s="10" t="s">
        <v>267</v>
      </c>
      <c r="E75" s="11">
        <v>46084</v>
      </c>
      <c r="F75" s="10" t="s">
        <v>42</v>
      </c>
      <c r="G75" s="10" t="s">
        <v>28</v>
      </c>
      <c r="H75" s="11" t="s">
        <v>240</v>
      </c>
      <c r="I75" s="10" t="s">
        <v>44</v>
      </c>
      <c r="J75" s="12" t="s">
        <v>37</v>
      </c>
      <c r="K75" s="13" t="str">
        <f>IF(J75="Won","✔","")</f>
        <v/>
      </c>
      <c r="L75" s="10" t="s">
        <v>213</v>
      </c>
      <c r="M75" s="14">
        <v>5638</v>
      </c>
      <c r="N75" s="10"/>
      <c r="O75" s="10"/>
      <c r="P75" s="10"/>
      <c r="Q75" s="10"/>
      <c r="R75" s="10"/>
      <c r="S75" s="12"/>
      <c r="T75" s="14"/>
      <c r="U75" s="14"/>
      <c r="V75" s="10"/>
      <c r="W75" s="10"/>
    </row>
    <row r="76" spans="1:23" ht="15" customHeight="1" outlineLevel="1">
      <c r="A76" s="4" t="s">
        <v>268</v>
      </c>
      <c r="B76" s="10" t="s">
        <v>269</v>
      </c>
      <c r="C76" s="10" t="s">
        <v>108</v>
      </c>
      <c r="D76" s="10" t="s">
        <v>270</v>
      </c>
      <c r="E76" s="11">
        <v>46085</v>
      </c>
      <c r="F76" s="10" t="s">
        <v>206</v>
      </c>
      <c r="G76" s="10" t="s">
        <v>28</v>
      </c>
      <c r="H76" s="11" t="s">
        <v>243</v>
      </c>
      <c r="I76" s="10" t="s">
        <v>30</v>
      </c>
      <c r="J76" s="12" t="s">
        <v>37</v>
      </c>
      <c r="K76" s="13" t="str">
        <f>IF(J76="Won","✔","")</f>
        <v/>
      </c>
      <c r="L76" s="10" t="s">
        <v>271</v>
      </c>
      <c r="M76" s="14">
        <v>23822</v>
      </c>
      <c r="N76" s="10"/>
      <c r="O76" s="10"/>
      <c r="P76" s="10"/>
      <c r="Q76" s="10"/>
      <c r="R76" s="10"/>
      <c r="S76" s="12"/>
      <c r="T76" s="14"/>
      <c r="U76" s="14"/>
      <c r="V76" s="10"/>
      <c r="W76" s="10"/>
    </row>
    <row r="77" spans="1:23" ht="15" customHeight="1" outlineLevel="1">
      <c r="A77" s="4" t="s">
        <v>272</v>
      </c>
      <c r="B77" s="10" t="s">
        <v>273</v>
      </c>
      <c r="C77" s="10" t="s">
        <v>274</v>
      </c>
      <c r="D77" s="10" t="s">
        <v>275</v>
      </c>
      <c r="E77" s="11">
        <v>46085</v>
      </c>
      <c r="F77" s="10" t="s">
        <v>30</v>
      </c>
      <c r="G77" s="10" t="s">
        <v>28</v>
      </c>
      <c r="H77" s="11" t="s">
        <v>243</v>
      </c>
      <c r="I77" s="10" t="s">
        <v>30</v>
      </c>
      <c r="J77" s="12" t="s">
        <v>31</v>
      </c>
      <c r="K77" s="13" t="str">
        <f>IF(J77="Won","✔","")</f>
        <v>✔</v>
      </c>
      <c r="L77" s="10"/>
      <c r="M77" s="14">
        <v>4681</v>
      </c>
      <c r="N77" s="10"/>
      <c r="O77" s="10"/>
      <c r="P77" s="10"/>
      <c r="Q77" s="10"/>
      <c r="R77" s="10"/>
      <c r="S77" s="12"/>
      <c r="T77" s="14"/>
      <c r="U77" s="14"/>
      <c r="V77" s="10"/>
      <c r="W77" s="10"/>
    </row>
    <row r="78" spans="1:23" ht="15" customHeight="1" outlineLevel="1">
      <c r="A78" s="4" t="s">
        <v>276</v>
      </c>
      <c r="B78" s="10" t="s">
        <v>277</v>
      </c>
      <c r="C78" s="10" t="s">
        <v>53</v>
      </c>
      <c r="D78" s="10" t="s">
        <v>278</v>
      </c>
      <c r="E78" s="11">
        <v>46090</v>
      </c>
      <c r="F78" s="10" t="s">
        <v>30</v>
      </c>
      <c r="G78" s="10" t="s">
        <v>28</v>
      </c>
      <c r="H78" s="11" t="s">
        <v>259</v>
      </c>
      <c r="I78" s="10" t="s">
        <v>144</v>
      </c>
      <c r="J78" s="12" t="s">
        <v>31</v>
      </c>
      <c r="K78" s="13" t="str">
        <f>IF(J78="Won","✔","")</f>
        <v>✔</v>
      </c>
      <c r="L78" s="10" t="s">
        <v>279</v>
      </c>
      <c r="M78" s="14">
        <v>1392</v>
      </c>
      <c r="N78" s="10"/>
      <c r="O78" s="10"/>
      <c r="P78" s="10"/>
      <c r="Q78" s="10"/>
      <c r="R78" s="10"/>
      <c r="S78" s="12"/>
      <c r="T78" s="14"/>
      <c r="U78" s="14"/>
      <c r="V78" s="10"/>
      <c r="W78" s="10"/>
    </row>
    <row r="79" spans="1:23" ht="15" customHeight="1" outlineLevel="1">
      <c r="A79" s="4" t="s">
        <v>280</v>
      </c>
      <c r="B79" s="10" t="s">
        <v>281</v>
      </c>
      <c r="C79" s="10" t="s">
        <v>282</v>
      </c>
      <c r="D79" s="10" t="s">
        <v>283</v>
      </c>
      <c r="E79" s="11">
        <v>46091</v>
      </c>
      <c r="F79" s="10" t="s">
        <v>42</v>
      </c>
      <c r="G79" s="10" t="s">
        <v>28</v>
      </c>
      <c r="H79" s="11" t="s">
        <v>262</v>
      </c>
      <c r="I79" s="10" t="s">
        <v>44</v>
      </c>
      <c r="J79" s="12" t="s">
        <v>37</v>
      </c>
      <c r="K79" s="13" t="str">
        <f>IF(J79="Won","✔","")</f>
        <v/>
      </c>
      <c r="L79" s="10" t="s">
        <v>45</v>
      </c>
      <c r="M79" s="14">
        <v>16862</v>
      </c>
      <c r="N79" s="10"/>
      <c r="O79" s="10"/>
      <c r="P79" s="10"/>
      <c r="Q79" s="10"/>
      <c r="R79" s="10"/>
      <c r="S79" s="12"/>
      <c r="T79" s="14"/>
      <c r="U79" s="14"/>
      <c r="V79" s="10"/>
      <c r="W79" s="10"/>
    </row>
    <row r="80" spans="1:23" ht="15" customHeight="1" outlineLevel="1">
      <c r="A80" s="4" t="s">
        <v>284</v>
      </c>
      <c r="B80" s="10" t="s">
        <v>285</v>
      </c>
      <c r="C80" s="10" t="s">
        <v>129</v>
      </c>
      <c r="D80" s="10" t="s">
        <v>286</v>
      </c>
      <c r="E80" s="11">
        <v>46091</v>
      </c>
      <c r="F80" s="10" t="s">
        <v>42</v>
      </c>
      <c r="G80" s="10" t="s">
        <v>28</v>
      </c>
      <c r="H80" s="11" t="s">
        <v>262</v>
      </c>
      <c r="I80" s="10" t="s">
        <v>44</v>
      </c>
      <c r="J80" s="12" t="s">
        <v>37</v>
      </c>
      <c r="K80" s="13" t="str">
        <f>IF(J80="Won","✔","")</f>
        <v/>
      </c>
      <c r="L80" s="10" t="s">
        <v>287</v>
      </c>
      <c r="M80" s="14">
        <v>16254</v>
      </c>
      <c r="N80" s="10"/>
      <c r="O80" s="10"/>
      <c r="P80" s="10"/>
      <c r="Q80" s="10"/>
      <c r="R80" s="10"/>
      <c r="S80" s="12"/>
      <c r="T80" s="14"/>
      <c r="U80" s="14"/>
      <c r="V80" s="10"/>
      <c r="W80" s="10"/>
    </row>
    <row r="81" spans="1:23" ht="15" customHeight="1" outlineLevel="1">
      <c r="A81" s="4" t="s">
        <v>288</v>
      </c>
      <c r="B81" s="10" t="s">
        <v>289</v>
      </c>
      <c r="C81" s="10" t="s">
        <v>53</v>
      </c>
      <c r="D81" s="10" t="s">
        <v>290</v>
      </c>
      <c r="E81" s="11">
        <v>46091</v>
      </c>
      <c r="F81" s="10" t="s">
        <v>30</v>
      </c>
      <c r="G81" s="10" t="s">
        <v>291</v>
      </c>
      <c r="H81" s="11" t="s">
        <v>262</v>
      </c>
      <c r="I81" s="10" t="s">
        <v>30</v>
      </c>
      <c r="J81" s="12" t="s">
        <v>31</v>
      </c>
      <c r="K81" s="13" t="str">
        <f>IF(J81="Won","✔","")</f>
        <v>✔</v>
      </c>
      <c r="L81" s="10"/>
      <c r="M81" s="14">
        <v>1002</v>
      </c>
      <c r="N81" s="10"/>
      <c r="O81" s="10"/>
      <c r="P81" s="10"/>
      <c r="Q81" s="10"/>
      <c r="R81" s="10"/>
      <c r="S81" s="12"/>
      <c r="T81" s="14"/>
      <c r="U81" s="14"/>
      <c r="V81" s="10"/>
      <c r="W81" s="10"/>
    </row>
    <row r="82" spans="1:23" ht="15" customHeight="1" outlineLevel="1">
      <c r="A82" s="4" t="s">
        <v>292</v>
      </c>
      <c r="B82" s="10" t="s">
        <v>293</v>
      </c>
      <c r="C82" s="10" t="s">
        <v>53</v>
      </c>
      <c r="D82" s="10" t="s">
        <v>294</v>
      </c>
      <c r="E82" s="11">
        <v>46091</v>
      </c>
      <c r="F82" s="10" t="s">
        <v>30</v>
      </c>
      <c r="G82" s="10" t="s">
        <v>35</v>
      </c>
      <c r="H82" s="11" t="s">
        <v>262</v>
      </c>
      <c r="I82" s="10" t="s">
        <v>30</v>
      </c>
      <c r="J82" s="12" t="s">
        <v>37</v>
      </c>
      <c r="K82" s="13" t="str">
        <f>IF(J82="Won","✔","")</f>
        <v/>
      </c>
      <c r="L82" s="10" t="s">
        <v>168</v>
      </c>
      <c r="M82" s="14">
        <v>18904</v>
      </c>
      <c r="N82" s="10"/>
      <c r="O82" s="10"/>
      <c r="P82" s="10"/>
      <c r="Q82" s="10"/>
      <c r="R82" s="10"/>
      <c r="S82" s="12"/>
      <c r="T82" s="14"/>
      <c r="U82" s="14"/>
      <c r="V82" s="10"/>
      <c r="W82" s="10"/>
    </row>
    <row r="83" spans="1:23" ht="15" customHeight="1" outlineLevel="1">
      <c r="A83" s="4" t="s">
        <v>295</v>
      </c>
      <c r="B83" s="10" t="s">
        <v>296</v>
      </c>
      <c r="C83" s="10" t="s">
        <v>102</v>
      </c>
      <c r="D83" s="10" t="s">
        <v>297</v>
      </c>
      <c r="E83" s="11">
        <v>46094</v>
      </c>
      <c r="F83" s="10" t="s">
        <v>30</v>
      </c>
      <c r="G83" s="10" t="s">
        <v>28</v>
      </c>
      <c r="H83" s="11" t="s">
        <v>237</v>
      </c>
      <c r="I83" s="10" t="s">
        <v>30</v>
      </c>
      <c r="J83" s="12" t="s">
        <v>37</v>
      </c>
      <c r="K83" s="13" t="str">
        <f>IF(J83="Won","✔","")</f>
        <v/>
      </c>
      <c r="L83" s="10" t="s">
        <v>119</v>
      </c>
      <c r="M83" s="14">
        <v>21447</v>
      </c>
      <c r="N83" s="10"/>
      <c r="O83" s="10"/>
      <c r="P83" s="10"/>
      <c r="Q83" s="10"/>
      <c r="R83" s="10"/>
      <c r="S83" s="12"/>
      <c r="T83" s="14"/>
      <c r="U83" s="14"/>
      <c r="V83" s="10"/>
      <c r="W83" s="10"/>
    </row>
    <row r="84" spans="1:23" ht="15" customHeight="1" outlineLevel="1">
      <c r="A84" s="4" t="s">
        <v>298</v>
      </c>
      <c r="B84" s="5" t="s">
        <v>299</v>
      </c>
      <c r="C84" s="5" t="s">
        <v>129</v>
      </c>
      <c r="D84" s="5" t="s">
        <v>300</v>
      </c>
      <c r="E84" s="6">
        <v>46097</v>
      </c>
      <c r="F84" s="5" t="s">
        <v>30</v>
      </c>
      <c r="G84" s="5" t="s">
        <v>28</v>
      </c>
      <c r="H84" s="6" t="s">
        <v>237</v>
      </c>
      <c r="I84" s="5" t="s">
        <v>30</v>
      </c>
      <c r="J84" s="7" t="s">
        <v>31</v>
      </c>
      <c r="K84" s="7" t="str">
        <f>IF(J84="Won","✔","")</f>
        <v>✔</v>
      </c>
      <c r="L84" s="5" t="s">
        <v>92</v>
      </c>
      <c r="M84" s="8">
        <v>3895</v>
      </c>
      <c r="N84" s="5"/>
      <c r="O84" s="5"/>
      <c r="P84" s="5"/>
      <c r="Q84" s="5" t="s">
        <v>301</v>
      </c>
      <c r="R84" s="5"/>
      <c r="S84" s="9"/>
      <c r="T84" s="8"/>
      <c r="U84" s="8"/>
      <c r="V84" s="5"/>
      <c r="W84" s="5"/>
    </row>
    <row r="85" spans="1:23" ht="15" customHeight="1" outlineLevel="1">
      <c r="A85" s="4" t="s">
        <v>302</v>
      </c>
      <c r="B85" s="10" t="s">
        <v>303</v>
      </c>
      <c r="C85" s="10" t="s">
        <v>73</v>
      </c>
      <c r="D85" s="10" t="s">
        <v>304</v>
      </c>
      <c r="E85" s="11">
        <v>46092</v>
      </c>
      <c r="F85" s="10" t="s">
        <v>30</v>
      </c>
      <c r="G85" s="10" t="s">
        <v>28</v>
      </c>
      <c r="H85" s="11" t="s">
        <v>237</v>
      </c>
      <c r="I85" s="10" t="s">
        <v>30</v>
      </c>
      <c r="J85" s="12" t="s">
        <v>31</v>
      </c>
      <c r="K85" s="13" t="str">
        <f>IF(J85="Won","✔","")</f>
        <v>✔</v>
      </c>
      <c r="L85" s="10" t="s">
        <v>51</v>
      </c>
      <c r="M85" s="14">
        <v>157</v>
      </c>
      <c r="N85" s="10"/>
      <c r="O85" s="10"/>
      <c r="P85" s="10"/>
      <c r="Q85" s="10"/>
      <c r="R85" s="10"/>
      <c r="S85" s="12"/>
      <c r="T85" s="14"/>
      <c r="U85" s="14"/>
      <c r="V85" s="10"/>
      <c r="W85" s="10"/>
    </row>
    <row r="86" spans="1:23" ht="15" customHeight="1" outlineLevel="1">
      <c r="A86" s="4" t="s">
        <v>305</v>
      </c>
      <c r="B86" s="10" t="s">
        <v>306</v>
      </c>
      <c r="C86" s="10" t="s">
        <v>73</v>
      </c>
      <c r="D86" s="10" t="s">
        <v>307</v>
      </c>
      <c r="E86" s="11">
        <v>46092</v>
      </c>
      <c r="F86" s="10" t="s">
        <v>30</v>
      </c>
      <c r="G86" s="10" t="s">
        <v>308</v>
      </c>
      <c r="H86" s="11" t="s">
        <v>237</v>
      </c>
      <c r="I86" s="10" t="s">
        <v>30</v>
      </c>
      <c r="J86" s="12" t="s">
        <v>37</v>
      </c>
      <c r="K86" s="13" t="str">
        <f>IF(J86="Won","✔","")</f>
        <v/>
      </c>
      <c r="L86" s="10" t="s">
        <v>51</v>
      </c>
      <c r="M86" s="14">
        <v>1641</v>
      </c>
      <c r="N86" s="10"/>
      <c r="O86" s="10"/>
      <c r="P86" s="10"/>
      <c r="Q86" s="10"/>
      <c r="R86" s="10"/>
      <c r="S86" s="12"/>
      <c r="T86" s="14"/>
      <c r="U86" s="14"/>
      <c r="V86" s="10"/>
      <c r="W86" s="10"/>
    </row>
    <row r="87" spans="1:23" ht="15" customHeight="1" outlineLevel="1">
      <c r="A87" s="4" t="s">
        <v>309</v>
      </c>
      <c r="B87" s="10" t="s">
        <v>310</v>
      </c>
      <c r="C87" s="10" t="s">
        <v>25</v>
      </c>
      <c r="D87" s="10" t="s">
        <v>311</v>
      </c>
      <c r="E87" s="11">
        <v>46094</v>
      </c>
      <c r="F87" s="10" t="s">
        <v>30</v>
      </c>
      <c r="G87" s="10" t="s">
        <v>35</v>
      </c>
      <c r="H87" s="11" t="s">
        <v>269</v>
      </c>
      <c r="I87" s="10" t="s">
        <v>30</v>
      </c>
      <c r="J87" s="12" t="s">
        <v>37</v>
      </c>
      <c r="K87" s="13" t="str">
        <f>IF(J87="Won","✔","")</f>
        <v/>
      </c>
      <c r="L87" s="10" t="s">
        <v>233</v>
      </c>
      <c r="M87" s="14">
        <v>70459</v>
      </c>
      <c r="N87" s="10"/>
      <c r="O87" s="10"/>
      <c r="P87" s="10"/>
      <c r="Q87" s="10"/>
      <c r="R87" s="10"/>
      <c r="S87" s="12"/>
      <c r="T87" s="14"/>
      <c r="U87" s="14"/>
      <c r="V87" s="10"/>
      <c r="W87" s="10"/>
    </row>
    <row r="88" spans="1:23" ht="15" customHeight="1" outlineLevel="1">
      <c r="A88" s="4" t="s">
        <v>312</v>
      </c>
      <c r="B88" s="10" t="s">
        <v>313</v>
      </c>
      <c r="C88" s="10" t="s">
        <v>102</v>
      </c>
      <c r="D88" s="10" t="s">
        <v>314</v>
      </c>
      <c r="E88" s="11">
        <v>46094</v>
      </c>
      <c r="F88" s="10" t="s">
        <v>30</v>
      </c>
      <c r="G88" s="10" t="s">
        <v>28</v>
      </c>
      <c r="H88" s="11" t="s">
        <v>269</v>
      </c>
      <c r="I88" s="10" t="s">
        <v>30</v>
      </c>
      <c r="J88" s="12" t="s">
        <v>37</v>
      </c>
      <c r="K88" s="13" t="str">
        <f>IF(J88="Won","✔","")</f>
        <v/>
      </c>
      <c r="L88" s="10" t="s">
        <v>168</v>
      </c>
      <c r="M88" s="14">
        <v>30973</v>
      </c>
      <c r="N88" s="10"/>
      <c r="O88" s="10"/>
      <c r="P88" s="10"/>
      <c r="Q88" s="10" t="s">
        <v>315</v>
      </c>
      <c r="R88" s="10"/>
      <c r="S88" s="12"/>
      <c r="T88" s="14"/>
      <c r="U88" s="14"/>
      <c r="V88" s="10"/>
      <c r="W88" s="10"/>
    </row>
    <row r="89" spans="1:23" ht="15" customHeight="1" outlineLevel="1">
      <c r="A89" s="4" t="s">
        <v>316</v>
      </c>
      <c r="B89" s="10" t="s">
        <v>317</v>
      </c>
      <c r="C89" s="10" t="s">
        <v>108</v>
      </c>
      <c r="D89" s="10" t="s">
        <v>318</v>
      </c>
      <c r="E89" s="11">
        <v>46097</v>
      </c>
      <c r="F89" s="10" t="s">
        <v>30</v>
      </c>
      <c r="G89" s="10" t="s">
        <v>28</v>
      </c>
      <c r="H89" s="11" t="s">
        <v>285</v>
      </c>
      <c r="I89" s="10" t="s">
        <v>30</v>
      </c>
      <c r="J89" s="12" t="s">
        <v>37</v>
      </c>
      <c r="K89" s="13" t="str">
        <f>IF(J89="Won","✔","")</f>
        <v/>
      </c>
      <c r="L89" s="10" t="s">
        <v>51</v>
      </c>
      <c r="M89" s="14">
        <v>1440</v>
      </c>
      <c r="N89" s="10"/>
      <c r="O89" s="10"/>
      <c r="P89" s="10"/>
      <c r="Q89" s="10"/>
      <c r="R89" s="10"/>
      <c r="S89" s="12"/>
      <c r="T89" s="14"/>
      <c r="U89" s="14"/>
      <c r="V89" s="10"/>
      <c r="W89" s="10"/>
    </row>
    <row r="90" spans="1:23" ht="15" customHeight="1" outlineLevel="1">
      <c r="A90" s="4" t="s">
        <v>319</v>
      </c>
      <c r="B90" s="5" t="s">
        <v>320</v>
      </c>
      <c r="C90" s="5" t="s">
        <v>108</v>
      </c>
      <c r="D90" s="5" t="s">
        <v>321</v>
      </c>
      <c r="E90" s="6">
        <v>46105</v>
      </c>
      <c r="F90" s="5" t="s">
        <v>27</v>
      </c>
      <c r="G90" s="5" t="s">
        <v>28</v>
      </c>
      <c r="H90" s="6" t="s">
        <v>322</v>
      </c>
      <c r="I90" s="5" t="s">
        <v>30</v>
      </c>
      <c r="J90" s="7" t="s">
        <v>31</v>
      </c>
      <c r="K90" s="7" t="str">
        <f>IF(J90="Won","✔","")</f>
        <v>✔</v>
      </c>
      <c r="L90" s="5" t="s">
        <v>119</v>
      </c>
      <c r="M90" s="8">
        <v>55969</v>
      </c>
      <c r="N90" s="5" t="s">
        <v>323</v>
      </c>
      <c r="O90" s="5"/>
      <c r="P90" s="5"/>
      <c r="Q90" s="5"/>
      <c r="R90" s="5"/>
      <c r="S90" s="9"/>
      <c r="T90" s="8"/>
      <c r="U90" s="8"/>
      <c r="V90" s="5"/>
      <c r="W90" s="5"/>
    </row>
    <row r="91" spans="1:23" ht="15" customHeight="1" outlineLevel="1">
      <c r="A91" s="4" t="s">
        <v>324</v>
      </c>
      <c r="B91" s="10" t="s">
        <v>325</v>
      </c>
      <c r="C91" s="10" t="s">
        <v>108</v>
      </c>
      <c r="D91" s="10" t="s">
        <v>326</v>
      </c>
      <c r="E91" s="11">
        <v>46097</v>
      </c>
      <c r="F91" s="10" t="s">
        <v>30</v>
      </c>
      <c r="G91" s="10" t="s">
        <v>28</v>
      </c>
      <c r="H91" s="11"/>
      <c r="I91" s="10"/>
      <c r="J91" s="12"/>
      <c r="K91" s="13" t="str">
        <f>IF(J91="Won","✔","")</f>
        <v/>
      </c>
      <c r="L91" s="10"/>
      <c r="M91" s="14"/>
      <c r="N91" s="10"/>
      <c r="O91" s="10"/>
      <c r="P91" s="10"/>
      <c r="Q91" s="10"/>
      <c r="R91" s="10"/>
      <c r="S91" s="12"/>
      <c r="T91" s="14"/>
      <c r="U91" s="14"/>
      <c r="V91" s="10"/>
      <c r="W91" s="10"/>
    </row>
    <row r="92" spans="1:23" ht="15" customHeight="1" outlineLevel="1">
      <c r="A92" s="4" t="s">
        <v>327</v>
      </c>
      <c r="B92" s="5" t="s">
        <v>328</v>
      </c>
      <c r="C92" s="5" t="s">
        <v>329</v>
      </c>
      <c r="D92" s="5" t="s">
        <v>330</v>
      </c>
      <c r="E92" s="6">
        <v>46097</v>
      </c>
      <c r="F92" s="5" t="s">
        <v>30</v>
      </c>
      <c r="G92" s="5" t="s">
        <v>28</v>
      </c>
      <c r="H92" s="6" t="s">
        <v>273</v>
      </c>
      <c r="I92" s="5" t="s">
        <v>30</v>
      </c>
      <c r="J92" s="7" t="s">
        <v>31</v>
      </c>
      <c r="K92" s="7" t="str">
        <f>IF(J92="Won","✔","")</f>
        <v>✔</v>
      </c>
      <c r="L92" s="5" t="s">
        <v>331</v>
      </c>
      <c r="M92" s="8">
        <v>17242</v>
      </c>
      <c r="N92" s="5"/>
      <c r="O92" s="5"/>
      <c r="P92" s="5"/>
      <c r="Q92" s="5"/>
      <c r="R92" s="5"/>
      <c r="S92" s="9"/>
      <c r="T92" s="8"/>
      <c r="U92" s="8"/>
      <c r="V92" s="5"/>
      <c r="W92" s="5"/>
    </row>
    <row r="93" spans="1:23" ht="15" customHeight="1" outlineLevel="1">
      <c r="A93" s="4" t="s">
        <v>332</v>
      </c>
      <c r="B93" s="10" t="s">
        <v>333</v>
      </c>
      <c r="C93" s="10" t="s">
        <v>53</v>
      </c>
      <c r="D93" s="10" t="s">
        <v>334</v>
      </c>
      <c r="E93" s="11">
        <v>46098</v>
      </c>
      <c r="F93" s="10" t="s">
        <v>30</v>
      </c>
      <c r="G93" s="10" t="s">
        <v>28</v>
      </c>
      <c r="H93" s="11" t="s">
        <v>289</v>
      </c>
      <c r="I93" s="10" t="s">
        <v>30</v>
      </c>
      <c r="J93" s="12" t="s">
        <v>31</v>
      </c>
      <c r="K93" s="13" t="str">
        <f>IF(J93="Won","✔","")</f>
        <v>✔</v>
      </c>
      <c r="L93" s="10" t="s">
        <v>51</v>
      </c>
      <c r="M93" s="14">
        <v>119973</v>
      </c>
      <c r="N93" s="10"/>
      <c r="O93" s="10"/>
      <c r="P93" s="10"/>
      <c r="Q93" s="10"/>
      <c r="R93" s="10"/>
      <c r="S93" s="12"/>
      <c r="T93" s="14"/>
      <c r="U93" s="14"/>
      <c r="V93" s="10"/>
      <c r="W93" s="10"/>
    </row>
    <row r="94" spans="1:23" ht="15" customHeight="1" outlineLevel="1">
      <c r="A94" s="4" t="s">
        <v>335</v>
      </c>
      <c r="B94" s="10" t="s">
        <v>336</v>
      </c>
      <c r="C94" s="10" t="s">
        <v>53</v>
      </c>
      <c r="D94" s="10" t="s">
        <v>337</v>
      </c>
      <c r="E94" s="11">
        <v>46098</v>
      </c>
      <c r="F94" s="10" t="s">
        <v>30</v>
      </c>
      <c r="G94" s="10" t="s">
        <v>35</v>
      </c>
      <c r="H94" s="11" t="s">
        <v>289</v>
      </c>
      <c r="I94" s="10" t="s">
        <v>30</v>
      </c>
      <c r="J94" s="12" t="s">
        <v>37</v>
      </c>
      <c r="K94" s="13" t="str">
        <f>IF(J94="Won","✔","")</f>
        <v/>
      </c>
      <c r="L94" s="10" t="s">
        <v>279</v>
      </c>
      <c r="M94" s="14">
        <v>18511</v>
      </c>
      <c r="N94" s="10"/>
      <c r="O94" s="10"/>
      <c r="P94" s="10"/>
      <c r="Q94" s="10"/>
      <c r="R94" s="10"/>
      <c r="S94" s="12"/>
      <c r="T94" s="14"/>
      <c r="U94" s="14"/>
      <c r="V94" s="10"/>
      <c r="W94" s="10"/>
    </row>
    <row r="95" spans="1:23" ht="15" customHeight="1" outlineLevel="1">
      <c r="A95" s="4" t="s">
        <v>338</v>
      </c>
      <c r="B95" s="10" t="s">
        <v>339</v>
      </c>
      <c r="C95" s="10" t="s">
        <v>124</v>
      </c>
      <c r="D95" s="10" t="s">
        <v>340</v>
      </c>
      <c r="E95" s="11">
        <v>46104</v>
      </c>
      <c r="F95" s="10" t="s">
        <v>42</v>
      </c>
      <c r="G95" s="10" t="s">
        <v>28</v>
      </c>
      <c r="H95" s="11" t="s">
        <v>310</v>
      </c>
      <c r="I95" s="10" t="s">
        <v>30</v>
      </c>
      <c r="J95" s="12" t="s">
        <v>37</v>
      </c>
      <c r="K95" s="13" t="str">
        <f>IF(J95="Won","✔","")</f>
        <v/>
      </c>
      <c r="L95" s="10" t="s">
        <v>168</v>
      </c>
      <c r="M95" s="14">
        <v>5372</v>
      </c>
      <c r="N95" s="10"/>
      <c r="O95" s="10"/>
      <c r="P95" s="10"/>
      <c r="Q95" s="10"/>
      <c r="R95" s="10"/>
      <c r="S95" s="12"/>
      <c r="T95" s="14"/>
      <c r="U95" s="14"/>
      <c r="V95" s="10"/>
      <c r="W95" s="10"/>
    </row>
    <row r="96" spans="1:23" ht="15" customHeight="1" outlineLevel="1">
      <c r="A96" s="4" t="s">
        <v>341</v>
      </c>
      <c r="B96" s="10" t="s">
        <v>342</v>
      </c>
      <c r="C96" s="10" t="s">
        <v>343</v>
      </c>
      <c r="D96" s="10" t="s">
        <v>344</v>
      </c>
      <c r="E96" s="11">
        <v>46104</v>
      </c>
      <c r="F96" s="10" t="s">
        <v>30</v>
      </c>
      <c r="G96" s="10" t="s">
        <v>28</v>
      </c>
      <c r="H96" s="11" t="s">
        <v>313</v>
      </c>
      <c r="I96" s="10" t="s">
        <v>44</v>
      </c>
      <c r="J96" s="12" t="s">
        <v>37</v>
      </c>
      <c r="K96" s="13" t="str">
        <f>IF(J96="Won","✔","")</f>
        <v/>
      </c>
      <c r="L96" s="10" t="s">
        <v>345</v>
      </c>
      <c r="M96" s="14">
        <v>5215</v>
      </c>
      <c r="N96" s="10"/>
      <c r="O96" s="10"/>
      <c r="P96" s="10"/>
      <c r="Q96" s="10"/>
      <c r="R96" s="10"/>
      <c r="S96" s="12"/>
      <c r="T96" s="14"/>
      <c r="U96" s="14"/>
      <c r="V96" s="10"/>
      <c r="W96" s="10"/>
    </row>
    <row r="97" spans="1:23" ht="15" customHeight="1" outlineLevel="1">
      <c r="A97" s="4" t="s">
        <v>346</v>
      </c>
      <c r="B97" s="10" t="s">
        <v>347</v>
      </c>
      <c r="C97" s="10" t="s">
        <v>25</v>
      </c>
      <c r="D97" s="10" t="s">
        <v>348</v>
      </c>
      <c r="E97" s="11">
        <v>46108</v>
      </c>
      <c r="F97" s="10" t="s">
        <v>149</v>
      </c>
      <c r="G97" s="10" t="s">
        <v>35</v>
      </c>
      <c r="H97" s="11" t="s">
        <v>325</v>
      </c>
      <c r="I97" s="10" t="s">
        <v>30</v>
      </c>
      <c r="J97" s="12" t="s">
        <v>37</v>
      </c>
      <c r="K97" s="13" t="str">
        <f>IF(J97="Won","✔","")</f>
        <v/>
      </c>
      <c r="L97" s="10" t="s">
        <v>188</v>
      </c>
      <c r="M97" s="14">
        <v>97932</v>
      </c>
      <c r="N97" s="10"/>
      <c r="O97" s="10"/>
      <c r="P97" s="10"/>
      <c r="Q97" s="10" t="s">
        <v>349</v>
      </c>
      <c r="R97" s="10"/>
      <c r="S97" s="12"/>
      <c r="T97" s="14"/>
      <c r="U97" s="14"/>
      <c r="V97" s="10"/>
      <c r="W97" s="10"/>
    </row>
    <row r="98" spans="1:23" ht="15" customHeight="1" outlineLevel="1">
      <c r="A98" s="4" t="s">
        <v>350</v>
      </c>
      <c r="B98" s="10" t="s">
        <v>351</v>
      </c>
      <c r="C98" s="10" t="s">
        <v>352</v>
      </c>
      <c r="D98" s="10" t="s">
        <v>353</v>
      </c>
      <c r="E98" s="11">
        <v>46108</v>
      </c>
      <c r="F98" s="10" t="s">
        <v>30</v>
      </c>
      <c r="G98" s="10" t="s">
        <v>28</v>
      </c>
      <c r="H98" s="11" t="s">
        <v>320</v>
      </c>
      <c r="I98" s="10" t="s">
        <v>30</v>
      </c>
      <c r="J98" s="12" t="s">
        <v>37</v>
      </c>
      <c r="K98" s="13" t="str">
        <f>IF(J98="Won","✔","")</f>
        <v/>
      </c>
      <c r="L98" s="10" t="s">
        <v>119</v>
      </c>
      <c r="M98" s="14">
        <v>801</v>
      </c>
      <c r="N98" s="10"/>
      <c r="O98" s="10"/>
      <c r="P98" s="10"/>
      <c r="Q98" s="10"/>
      <c r="R98" s="10"/>
      <c r="S98" s="12"/>
      <c r="T98" s="14"/>
      <c r="U98" s="14"/>
      <c r="V98" s="10"/>
      <c r="W98" s="10"/>
    </row>
    <row r="99" spans="1:23" ht="15" customHeight="1" outlineLevel="1">
      <c r="A99" s="4" t="s">
        <v>354</v>
      </c>
      <c r="B99" s="20" t="s">
        <v>355</v>
      </c>
      <c r="C99" s="20" t="s">
        <v>73</v>
      </c>
      <c r="D99" s="20" t="s">
        <v>356</v>
      </c>
      <c r="E99" s="21">
        <v>46101</v>
      </c>
      <c r="F99" s="20" t="s">
        <v>30</v>
      </c>
      <c r="G99" s="20" t="s">
        <v>28</v>
      </c>
      <c r="H99" s="21" t="s">
        <v>299</v>
      </c>
      <c r="I99" s="20" t="s">
        <v>30</v>
      </c>
      <c r="J99" s="22" t="s">
        <v>357</v>
      </c>
      <c r="K99" s="23" t="str">
        <f>IF(J99="Won","✔","")</f>
        <v/>
      </c>
      <c r="L99" s="20" t="s">
        <v>119</v>
      </c>
      <c r="M99" s="24">
        <v>2300</v>
      </c>
      <c r="N99" s="20"/>
      <c r="O99" s="20"/>
      <c r="P99" s="20"/>
      <c r="Q99" s="20"/>
      <c r="R99" s="20"/>
      <c r="S99" s="22"/>
      <c r="T99" s="24"/>
      <c r="U99" s="24"/>
      <c r="V99" s="20"/>
      <c r="W99" s="20"/>
    </row>
    <row r="100" spans="1:23" ht="15" customHeight="1" outlineLevel="1">
      <c r="A100" s="4" t="s">
        <v>358</v>
      </c>
      <c r="B100" s="10" t="s">
        <v>359</v>
      </c>
      <c r="C100" s="10" t="s">
        <v>53</v>
      </c>
      <c r="D100" s="10" t="s">
        <v>360</v>
      </c>
      <c r="E100" s="11">
        <v>46105</v>
      </c>
      <c r="F100" s="10" t="s">
        <v>30</v>
      </c>
      <c r="G100" s="10" t="s">
        <v>35</v>
      </c>
      <c r="H100" s="11" t="s">
        <v>313</v>
      </c>
      <c r="I100" s="10" t="s">
        <v>30</v>
      </c>
      <c r="J100" s="12" t="s">
        <v>37</v>
      </c>
      <c r="K100" s="13" t="str">
        <f>IF(J100="Won","✔","")</f>
        <v/>
      </c>
      <c r="L100" s="10" t="s">
        <v>92</v>
      </c>
      <c r="M100" s="14">
        <v>23733</v>
      </c>
      <c r="N100" s="10"/>
      <c r="O100" s="10"/>
      <c r="P100" s="10"/>
      <c r="Q100" s="10"/>
      <c r="R100" s="10"/>
      <c r="S100" s="12"/>
      <c r="T100" s="14"/>
      <c r="U100" s="14"/>
      <c r="V100" s="10"/>
      <c r="W100" s="10"/>
    </row>
    <row r="101" spans="1:23" ht="15" customHeight="1">
      <c r="A101" s="2"/>
      <c r="B101" s="3" t="s">
        <v>361</v>
      </c>
      <c r="C101" s="2"/>
      <c r="D101" s="2"/>
      <c r="E101" s="6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" customHeight="1" outlineLevel="1">
      <c r="A102" s="4" t="s">
        <v>362</v>
      </c>
      <c r="B102" s="10"/>
      <c r="C102" s="10" t="s">
        <v>363</v>
      </c>
      <c r="D102" s="10" t="s">
        <v>364</v>
      </c>
      <c r="E102" s="11">
        <v>46113</v>
      </c>
      <c r="F102" s="10"/>
      <c r="G102" s="10"/>
      <c r="H102" s="11"/>
      <c r="I102" s="10"/>
      <c r="J102" s="12"/>
      <c r="K102" s="13" t="str">
        <f>IF(J102="Won","✔","")</f>
        <v/>
      </c>
      <c r="L102" s="10"/>
      <c r="M102" s="14"/>
      <c r="N102" s="10" t="s">
        <v>365</v>
      </c>
      <c r="O102" s="10"/>
      <c r="P102" s="10"/>
      <c r="Q102" s="10"/>
      <c r="R102" s="10"/>
      <c r="S102" s="12"/>
      <c r="T102" s="14"/>
      <c r="U102" s="14"/>
      <c r="V102" s="10"/>
      <c r="W102" s="10"/>
    </row>
    <row r="103" spans="1:23" ht="15" customHeight="1" outlineLevel="1">
      <c r="A103" s="4" t="s">
        <v>366</v>
      </c>
      <c r="B103" s="10"/>
      <c r="C103" s="10" t="s">
        <v>25</v>
      </c>
      <c r="D103" s="10" t="s">
        <v>367</v>
      </c>
      <c r="E103" s="11">
        <v>46115</v>
      </c>
      <c r="F103" s="10" t="s">
        <v>149</v>
      </c>
      <c r="G103" s="10" t="s">
        <v>35</v>
      </c>
      <c r="H103" s="11">
        <v>46114</v>
      </c>
      <c r="I103" s="10" t="s">
        <v>30</v>
      </c>
      <c r="J103" s="12" t="s">
        <v>37</v>
      </c>
      <c r="K103" s="13" t="str">
        <f>IF(J103="Won","✔","")</f>
        <v/>
      </c>
      <c r="L103" s="10"/>
      <c r="M103" s="14">
        <v>109080</v>
      </c>
      <c r="N103" s="10"/>
      <c r="O103" s="10"/>
      <c r="P103" s="10"/>
      <c r="Q103" s="10"/>
      <c r="R103" s="10"/>
      <c r="S103" s="12"/>
      <c r="T103" s="14"/>
      <c r="U103" s="14"/>
      <c r="V103" s="10"/>
      <c r="W103" s="10"/>
    </row>
    <row r="104" spans="1:23" ht="15" customHeight="1" outlineLevel="1">
      <c r="A104" s="4" t="s">
        <v>368</v>
      </c>
      <c r="B104" s="10"/>
      <c r="C104" s="10" t="s">
        <v>108</v>
      </c>
      <c r="D104" s="10" t="s">
        <v>369</v>
      </c>
      <c r="E104" s="11">
        <v>46115</v>
      </c>
      <c r="F104" s="10" t="s">
        <v>30</v>
      </c>
      <c r="G104" s="10" t="s">
        <v>28</v>
      </c>
      <c r="H104" s="11">
        <v>46114</v>
      </c>
      <c r="I104" s="10" t="s">
        <v>30</v>
      </c>
      <c r="J104" s="12" t="s">
        <v>37</v>
      </c>
      <c r="K104" s="13" t="str">
        <f>IF(J104="Won","✔","")</f>
        <v/>
      </c>
      <c r="L104" s="10"/>
      <c r="M104" s="14">
        <v>54822</v>
      </c>
      <c r="N104" s="10"/>
      <c r="O104" s="10"/>
      <c r="P104" s="10"/>
      <c r="Q104" s="10"/>
      <c r="R104" s="10"/>
      <c r="S104" s="12"/>
      <c r="T104" s="14"/>
      <c r="U104" s="14"/>
      <c r="V104" s="10"/>
      <c r="W104" s="10"/>
    </row>
    <row r="105" spans="1:23" ht="15" customHeight="1" outlineLevel="1">
      <c r="A105" s="4" t="s">
        <v>370</v>
      </c>
      <c r="B105" s="10"/>
      <c r="C105" s="10" t="s">
        <v>53</v>
      </c>
      <c r="D105" s="10" t="s">
        <v>371</v>
      </c>
      <c r="E105" s="11">
        <v>46122</v>
      </c>
      <c r="F105" s="10" t="s">
        <v>30</v>
      </c>
      <c r="G105" s="10" t="s">
        <v>35</v>
      </c>
      <c r="H105" s="11" t="s">
        <v>289</v>
      </c>
      <c r="I105" s="10" t="s">
        <v>30</v>
      </c>
      <c r="J105" s="12" t="s">
        <v>37</v>
      </c>
      <c r="K105" s="13" t="str">
        <f>IF(J105="Won","✔","")</f>
        <v/>
      </c>
      <c r="L105" s="10" t="s">
        <v>279</v>
      </c>
      <c r="M105" s="14">
        <v>19859</v>
      </c>
      <c r="N105" s="10"/>
      <c r="O105" s="10"/>
      <c r="P105" s="10"/>
      <c r="Q105" s="10"/>
      <c r="R105" s="10"/>
      <c r="S105" s="12"/>
      <c r="T105" s="14"/>
      <c r="U105" s="14"/>
      <c r="V105" s="10"/>
      <c r="W105" s="10"/>
    </row>
    <row r="106" spans="1:23" ht="15" customHeight="1" outlineLevel="1">
      <c r="A106" s="4" t="s">
        <v>372</v>
      </c>
      <c r="B106" s="10"/>
      <c r="C106" s="10" t="s">
        <v>108</v>
      </c>
      <c r="D106" s="10" t="s">
        <v>373</v>
      </c>
      <c r="E106" s="11">
        <v>46115</v>
      </c>
      <c r="F106" s="10" t="s">
        <v>30</v>
      </c>
      <c r="G106" s="10" t="s">
        <v>28</v>
      </c>
      <c r="H106" s="11" t="s">
        <v>313</v>
      </c>
      <c r="I106" s="10" t="s">
        <v>30</v>
      </c>
      <c r="J106" s="12" t="s">
        <v>37</v>
      </c>
      <c r="K106" s="13" t="str">
        <f>IF(J106="Won","✔","")</f>
        <v/>
      </c>
      <c r="L106" s="10"/>
      <c r="M106" s="14">
        <v>1632</v>
      </c>
      <c r="N106" s="10"/>
      <c r="O106" s="10"/>
      <c r="P106" s="10"/>
      <c r="Q106" s="10"/>
      <c r="R106" s="10"/>
      <c r="S106" s="12"/>
      <c r="T106" s="14"/>
      <c r="U106" s="14"/>
      <c r="V106" s="10"/>
      <c r="W106" s="10"/>
    </row>
    <row r="107" spans="1:23" ht="15" customHeight="1" outlineLevel="1">
      <c r="A107" s="4" t="s">
        <v>374</v>
      </c>
      <c r="B107" s="10"/>
      <c r="C107" s="10" t="s">
        <v>25</v>
      </c>
      <c r="D107" s="10" t="s">
        <v>369</v>
      </c>
      <c r="E107" s="11">
        <v>46113</v>
      </c>
      <c r="F107" s="10" t="s">
        <v>30</v>
      </c>
      <c r="G107" s="10" t="s">
        <v>28</v>
      </c>
      <c r="H107" s="11" t="s">
        <v>342</v>
      </c>
      <c r="I107" s="10" t="s">
        <v>30</v>
      </c>
      <c r="J107" s="12" t="s">
        <v>37</v>
      </c>
      <c r="K107" s="13" t="str">
        <f>IF(J107="Won","✔","")</f>
        <v/>
      </c>
      <c r="L107" s="10" t="s">
        <v>86</v>
      </c>
      <c r="M107" s="14">
        <v>54822</v>
      </c>
      <c r="N107" s="10"/>
      <c r="O107" s="10"/>
      <c r="P107" s="10"/>
      <c r="Q107" s="10"/>
      <c r="R107" s="10"/>
      <c r="S107" s="12"/>
      <c r="T107" s="14"/>
      <c r="U107" s="14"/>
      <c r="V107" s="10"/>
      <c r="W107" s="10"/>
    </row>
    <row r="108" spans="1:23" ht="15" customHeight="1" outlineLevel="1">
      <c r="A108" s="4" t="s">
        <v>375</v>
      </c>
      <c r="B108" s="10" t="s">
        <v>325</v>
      </c>
      <c r="C108" s="10" t="s">
        <v>376</v>
      </c>
      <c r="D108" s="10" t="s">
        <v>377</v>
      </c>
      <c r="E108" s="11">
        <v>46119</v>
      </c>
      <c r="F108" s="10" t="s">
        <v>30</v>
      </c>
      <c r="G108" s="10" t="s">
        <v>28</v>
      </c>
      <c r="H108" s="11"/>
      <c r="I108" s="10" t="s">
        <v>238</v>
      </c>
      <c r="J108" s="12" t="s">
        <v>378</v>
      </c>
      <c r="K108" s="13" t="str">
        <f>IF(J108="Won","✔","")</f>
        <v/>
      </c>
      <c r="L108" s="10"/>
      <c r="M108" s="14"/>
      <c r="N108" s="10"/>
      <c r="O108" s="10"/>
      <c r="P108" s="10"/>
      <c r="Q108" s="10"/>
      <c r="R108" s="10"/>
      <c r="S108" s="12"/>
      <c r="T108" s="14"/>
      <c r="U108" s="14"/>
      <c r="V108" s="10"/>
      <c r="W108" s="10"/>
    </row>
    <row r="109" spans="1:23" ht="15" customHeight="1" outlineLevel="1">
      <c r="A109" s="4" t="s">
        <v>379</v>
      </c>
      <c r="B109" s="10"/>
      <c r="C109" s="10" t="s">
        <v>380</v>
      </c>
      <c r="D109" s="10" t="s">
        <v>381</v>
      </c>
      <c r="E109" s="11">
        <v>46122</v>
      </c>
      <c r="F109" s="10"/>
      <c r="G109" s="10"/>
      <c r="H109" s="11"/>
      <c r="I109" s="10"/>
      <c r="J109" s="12" t="s">
        <v>378</v>
      </c>
      <c r="K109" s="13" t="str">
        <f>IF(J109="Won","✔","")</f>
        <v/>
      </c>
      <c r="L109" s="10"/>
      <c r="M109" s="14"/>
      <c r="N109" s="10"/>
      <c r="O109" s="10"/>
      <c r="P109" s="10"/>
      <c r="Q109" s="10"/>
      <c r="R109" s="10"/>
      <c r="S109" s="12"/>
      <c r="T109" s="14"/>
      <c r="U109" s="14"/>
      <c r="V109" s="10"/>
      <c r="W109" s="10"/>
    </row>
    <row r="110" spans="1:23" ht="15" customHeight="1" outlineLevel="1">
      <c r="A110" s="4" t="s">
        <v>382</v>
      </c>
      <c r="B110" s="10"/>
      <c r="C110" s="10" t="s">
        <v>102</v>
      </c>
      <c r="D110" s="10" t="s">
        <v>383</v>
      </c>
      <c r="E110" s="11">
        <v>46114</v>
      </c>
      <c r="F110" s="10"/>
      <c r="G110" s="10"/>
      <c r="H110" s="11"/>
      <c r="I110" s="10"/>
      <c r="J110" s="12" t="s">
        <v>384</v>
      </c>
      <c r="K110" s="13" t="str">
        <f>IF(J110="Won","✔","")</f>
        <v/>
      </c>
      <c r="L110" s="10"/>
      <c r="M110" s="14"/>
      <c r="N110" s="10"/>
      <c r="O110" s="10"/>
      <c r="P110" s="10"/>
      <c r="Q110" s="10"/>
      <c r="R110" s="10"/>
      <c r="S110" s="12"/>
      <c r="T110" s="14"/>
      <c r="U110" s="14"/>
      <c r="V110" s="10"/>
      <c r="W110" s="10"/>
    </row>
    <row r="111" spans="1:23" ht="15" customHeight="1" outlineLevel="1">
      <c r="A111" s="4" t="s">
        <v>385</v>
      </c>
      <c r="B111" s="10"/>
      <c r="C111" s="10" t="s">
        <v>386</v>
      </c>
      <c r="D111" s="10" t="s">
        <v>387</v>
      </c>
      <c r="E111" s="11">
        <v>46118</v>
      </c>
      <c r="F111" s="10" t="s">
        <v>42</v>
      </c>
      <c r="G111" s="10" t="s">
        <v>28</v>
      </c>
      <c r="H111" s="11" t="s">
        <v>388</v>
      </c>
      <c r="I111" s="10" t="s">
        <v>44</v>
      </c>
      <c r="J111" s="12" t="s">
        <v>37</v>
      </c>
      <c r="K111" s="13" t="str">
        <f>IF(J111="Won","✔","")</f>
        <v/>
      </c>
      <c r="L111" s="10" t="s">
        <v>168</v>
      </c>
      <c r="M111" s="14">
        <v>48460</v>
      </c>
      <c r="N111" s="10"/>
      <c r="O111" s="10"/>
      <c r="P111" s="10"/>
      <c r="Q111" s="10"/>
      <c r="R111" s="10"/>
      <c r="S111" s="12"/>
      <c r="T111" s="14"/>
      <c r="U111" s="14"/>
      <c r="V111" s="10"/>
      <c r="W111" s="10"/>
    </row>
    <row r="112" spans="1:23" ht="15" customHeight="1" outlineLevel="1">
      <c r="A112" s="4" t="s">
        <v>389</v>
      </c>
      <c r="B112" s="10"/>
      <c r="C112" s="10" t="s">
        <v>53</v>
      </c>
      <c r="D112" s="10" t="s">
        <v>390</v>
      </c>
      <c r="E112" s="11">
        <v>46118</v>
      </c>
      <c r="F112" s="10" t="s">
        <v>206</v>
      </c>
      <c r="G112" s="10" t="s">
        <v>28</v>
      </c>
      <c r="H112" s="11" t="s">
        <v>388</v>
      </c>
      <c r="I112" s="10" t="s">
        <v>144</v>
      </c>
      <c r="J112" s="12" t="s">
        <v>37</v>
      </c>
      <c r="K112" s="13" t="str">
        <f>IF(J112="Won","✔","")</f>
        <v/>
      </c>
      <c r="L112" s="10" t="s">
        <v>391</v>
      </c>
      <c r="M112" s="14">
        <v>59291</v>
      </c>
      <c r="N112" s="10"/>
      <c r="O112" s="10"/>
      <c r="P112" s="10"/>
      <c r="Q112" s="10"/>
      <c r="R112" s="10"/>
      <c r="S112" s="12"/>
      <c r="T112" s="14"/>
      <c r="U112" s="14"/>
      <c r="V112" s="10"/>
      <c r="W112" s="10"/>
    </row>
    <row r="113" spans="1:23" ht="15" customHeight="1" outlineLevel="1">
      <c r="A113" s="4" t="s">
        <v>392</v>
      </c>
      <c r="B113" s="10"/>
      <c r="C113" s="10" t="s">
        <v>393</v>
      </c>
      <c r="D113" s="10" t="s">
        <v>394</v>
      </c>
      <c r="E113" s="11">
        <v>46120</v>
      </c>
      <c r="F113" s="10" t="s">
        <v>42</v>
      </c>
      <c r="G113" s="10" t="s">
        <v>28</v>
      </c>
      <c r="H113" s="11" t="s">
        <v>388</v>
      </c>
      <c r="I113" s="10" t="s">
        <v>30</v>
      </c>
      <c r="J113" s="12" t="s">
        <v>37</v>
      </c>
      <c r="K113" s="13" t="str">
        <f>IF(J113="Won","✔","")</f>
        <v/>
      </c>
      <c r="L113" s="10" t="s">
        <v>168</v>
      </c>
      <c r="M113" s="14">
        <v>11948</v>
      </c>
      <c r="N113" s="10"/>
      <c r="O113" s="10"/>
      <c r="P113" s="10"/>
      <c r="Q113" s="10"/>
      <c r="R113" s="10"/>
      <c r="S113" s="12"/>
      <c r="T113" s="14"/>
      <c r="U113" s="14"/>
      <c r="V113" s="10"/>
      <c r="W113" s="10"/>
    </row>
    <row r="114" spans="1:23" ht="15" customHeight="1" outlineLevel="1">
      <c r="A114" s="4" t="s">
        <v>395</v>
      </c>
      <c r="B114" s="10"/>
      <c r="C114" s="10" t="s">
        <v>108</v>
      </c>
      <c r="D114" s="10" t="s">
        <v>231</v>
      </c>
      <c r="E114" s="11">
        <v>46122</v>
      </c>
      <c r="F114" s="10" t="s">
        <v>27</v>
      </c>
      <c r="G114" s="10" t="s">
        <v>28</v>
      </c>
      <c r="H114" s="11"/>
      <c r="I114" s="10" t="s">
        <v>30</v>
      </c>
      <c r="J114" s="12" t="s">
        <v>37</v>
      </c>
      <c r="K114" s="13" t="str">
        <f>IF(J114="Won","✔","")</f>
        <v/>
      </c>
      <c r="L114" s="10" t="s">
        <v>233</v>
      </c>
      <c r="M114" s="14">
        <v>33128</v>
      </c>
      <c r="N114" s="10"/>
      <c r="O114" s="10"/>
      <c r="P114" s="10"/>
      <c r="Q114" s="10"/>
      <c r="R114" s="10"/>
      <c r="S114" s="12"/>
      <c r="T114" s="14"/>
      <c r="U114" s="14"/>
      <c r="V114" s="10"/>
      <c r="W114" s="10"/>
    </row>
    <row r="115" spans="1:23" ht="15" customHeight="1" outlineLevel="1">
      <c r="A115" s="4" t="s">
        <v>396</v>
      </c>
      <c r="B115" s="10"/>
      <c r="C115" s="10" t="s">
        <v>235</v>
      </c>
      <c r="D115" s="10" t="s">
        <v>397</v>
      </c>
      <c r="E115" s="11">
        <v>46135</v>
      </c>
      <c r="F115" s="10" t="s">
        <v>206</v>
      </c>
      <c r="G115" s="10" t="s">
        <v>28</v>
      </c>
      <c r="H115" s="11"/>
      <c r="I115" s="10" t="s">
        <v>30</v>
      </c>
      <c r="J115" s="12"/>
      <c r="K115" s="13" t="str">
        <f>IF(J115="Won","✔","")</f>
        <v/>
      </c>
      <c r="L115" s="10"/>
      <c r="M115" s="14"/>
      <c r="N115" s="10"/>
      <c r="O115" s="10"/>
      <c r="P115" s="10"/>
      <c r="Q115" s="10"/>
      <c r="R115" s="10"/>
      <c r="S115" s="12"/>
      <c r="T115" s="14"/>
      <c r="U115" s="14"/>
      <c r="V115" s="10"/>
      <c r="W115" s="10"/>
    </row>
    <row r="116" spans="1:23" ht="15" customHeight="1" outlineLevel="1">
      <c r="A116" s="4" t="s">
        <v>398</v>
      </c>
      <c r="B116" s="20"/>
      <c r="C116" s="20" t="s">
        <v>266</v>
      </c>
      <c r="D116" s="20" t="s">
        <v>267</v>
      </c>
      <c r="E116" s="21">
        <v>46126</v>
      </c>
      <c r="F116" s="20" t="s">
        <v>27</v>
      </c>
      <c r="G116" s="20" t="s">
        <v>28</v>
      </c>
      <c r="H116" s="21"/>
      <c r="I116" s="20" t="s">
        <v>44</v>
      </c>
      <c r="J116" s="22" t="s">
        <v>37</v>
      </c>
      <c r="K116" s="23" t="str">
        <f>IF(J116="Won","✔","")</f>
        <v/>
      </c>
      <c r="L116" s="20" t="s">
        <v>51</v>
      </c>
      <c r="M116" s="24">
        <v>6109</v>
      </c>
      <c r="N116" s="20"/>
      <c r="O116" s="20"/>
      <c r="P116" s="20"/>
      <c r="Q116" s="20"/>
      <c r="R116" s="20"/>
      <c r="S116" s="22"/>
      <c r="T116" s="24"/>
      <c r="U116" s="24"/>
      <c r="V116" s="20"/>
      <c r="W116" s="20"/>
    </row>
    <row r="117" spans="1:23" ht="15" customHeight="1" outlineLevel="1">
      <c r="A117" s="4" t="s">
        <v>399</v>
      </c>
      <c r="B117" s="10"/>
      <c r="C117" s="10" t="s">
        <v>393</v>
      </c>
      <c r="D117" s="10" t="s">
        <v>400</v>
      </c>
      <c r="E117" s="11">
        <v>46125</v>
      </c>
      <c r="F117" s="10" t="s">
        <v>206</v>
      </c>
      <c r="G117" s="10" t="s">
        <v>28</v>
      </c>
      <c r="H117" s="11"/>
      <c r="I117" s="10" t="s">
        <v>30</v>
      </c>
      <c r="J117" s="12"/>
      <c r="K117" s="13" t="str">
        <f>IF(J117="Won","✔","")</f>
        <v/>
      </c>
      <c r="L117" s="10"/>
      <c r="M117" s="14">
        <v>32951</v>
      </c>
      <c r="N117" s="10"/>
      <c r="O117" s="10"/>
      <c r="P117" s="10"/>
      <c r="Q117" s="10"/>
      <c r="R117" s="10"/>
      <c r="S117" s="12"/>
      <c r="T117" s="14"/>
      <c r="U117" s="14"/>
      <c r="V117" s="10"/>
      <c r="W117" s="10"/>
    </row>
    <row r="118" spans="1:23" ht="15" customHeight="1" outlineLevel="1">
      <c r="A118" s="4" t="s">
        <v>401</v>
      </c>
      <c r="B118" s="10"/>
      <c r="C118" s="10" t="s">
        <v>402</v>
      </c>
      <c r="D118" s="10" t="s">
        <v>403</v>
      </c>
      <c r="E118" s="11">
        <v>46126</v>
      </c>
      <c r="F118" s="10" t="s">
        <v>30</v>
      </c>
      <c r="G118" s="10" t="s">
        <v>28</v>
      </c>
      <c r="H118" s="11"/>
      <c r="I118" s="10" t="s">
        <v>30</v>
      </c>
      <c r="J118" s="12" t="s">
        <v>37</v>
      </c>
      <c r="K118" s="13" t="str">
        <f>IF(J118="Won","✔","")</f>
        <v/>
      </c>
      <c r="L118" s="10"/>
      <c r="M118" s="14">
        <v>741</v>
      </c>
      <c r="N118" s="10"/>
      <c r="O118" s="10"/>
      <c r="P118" s="10"/>
      <c r="Q118" s="10"/>
      <c r="R118" s="10"/>
      <c r="S118" s="12"/>
      <c r="T118" s="14"/>
      <c r="U118" s="14"/>
      <c r="V118" s="10"/>
      <c r="W118" s="10"/>
    </row>
    <row r="119" spans="1:23" ht="15" customHeight="1" outlineLevel="1">
      <c r="A119" s="4" t="s">
        <v>404</v>
      </c>
      <c r="B119" s="10"/>
      <c r="C119" s="10" t="s">
        <v>53</v>
      </c>
      <c r="D119" s="10" t="s">
        <v>405</v>
      </c>
      <c r="E119" s="11">
        <v>46126</v>
      </c>
      <c r="F119" s="10" t="s">
        <v>27</v>
      </c>
      <c r="G119" s="10" t="s">
        <v>28</v>
      </c>
      <c r="H119" s="11">
        <v>46126</v>
      </c>
      <c r="I119" s="10" t="s">
        <v>144</v>
      </c>
      <c r="J119" s="12" t="s">
        <v>37</v>
      </c>
      <c r="K119" s="13" t="str">
        <f>IF(J119="Won","✔","")</f>
        <v/>
      </c>
      <c r="L119" s="10" t="s">
        <v>406</v>
      </c>
      <c r="M119" s="14">
        <v>67984</v>
      </c>
      <c r="N119" s="10"/>
      <c r="O119" s="10"/>
      <c r="P119" s="10"/>
      <c r="Q119" s="10" t="s">
        <v>407</v>
      </c>
      <c r="R119" s="10"/>
      <c r="S119" s="12"/>
      <c r="T119" s="14"/>
      <c r="U119" s="14"/>
      <c r="V119" s="10"/>
      <c r="W119" s="10"/>
    </row>
    <row r="120" spans="1:23" ht="15" customHeight="1" outlineLevel="1">
      <c r="A120" s="4" t="s">
        <v>408</v>
      </c>
      <c r="B120" s="68">
        <v>10738</v>
      </c>
      <c r="C120" s="10" t="s">
        <v>53</v>
      </c>
      <c r="D120" s="10" t="s">
        <v>409</v>
      </c>
      <c r="E120" s="11">
        <v>46136</v>
      </c>
      <c r="F120" s="10" t="s">
        <v>27</v>
      </c>
      <c r="G120" s="10" t="s">
        <v>28</v>
      </c>
      <c r="H120" s="11">
        <v>46132</v>
      </c>
      <c r="I120" s="10" t="s">
        <v>144</v>
      </c>
      <c r="J120" s="12" t="s">
        <v>37</v>
      </c>
      <c r="K120" s="13" t="str">
        <f>IF(J120="Won","✔","")</f>
        <v/>
      </c>
      <c r="L120" s="10" t="s">
        <v>168</v>
      </c>
      <c r="M120" s="14">
        <v>118157</v>
      </c>
      <c r="N120" s="10"/>
      <c r="O120" s="10"/>
      <c r="P120" s="10"/>
      <c r="Q120" s="10"/>
      <c r="R120" s="10"/>
      <c r="S120" s="12"/>
      <c r="T120" s="14"/>
      <c r="U120" s="14"/>
      <c r="V120" s="10"/>
      <c r="W120" s="10"/>
    </row>
    <row r="121" spans="1:23" ht="15" customHeight="1" outlineLevel="1">
      <c r="A121" s="4" t="s">
        <v>410</v>
      </c>
      <c r="B121" s="10"/>
      <c r="C121" s="10" t="s">
        <v>53</v>
      </c>
      <c r="D121" s="10" t="s">
        <v>411</v>
      </c>
      <c r="E121" s="11">
        <v>46126</v>
      </c>
      <c r="F121" s="10" t="s">
        <v>412</v>
      </c>
      <c r="G121" s="10" t="s">
        <v>35</v>
      </c>
      <c r="H121" s="11">
        <v>46125</v>
      </c>
      <c r="I121" s="10" t="s">
        <v>30</v>
      </c>
      <c r="J121" s="12" t="s">
        <v>37</v>
      </c>
      <c r="K121" s="13"/>
      <c r="L121" s="10" t="s">
        <v>413</v>
      </c>
      <c r="M121" s="14">
        <v>59539</v>
      </c>
      <c r="N121" s="10"/>
      <c r="O121" s="10"/>
      <c r="P121" s="10"/>
      <c r="Q121" s="10"/>
      <c r="R121" s="10"/>
      <c r="S121" s="12"/>
      <c r="T121" s="14"/>
      <c r="U121" s="14"/>
      <c r="V121" s="10"/>
      <c r="W121" s="10"/>
    </row>
    <row r="122" spans="1:23" ht="15" customHeight="1" outlineLevel="1">
      <c r="A122" s="4" t="s">
        <v>414</v>
      </c>
      <c r="B122" s="10"/>
      <c r="C122" s="10" t="s">
        <v>53</v>
      </c>
      <c r="D122" s="10" t="s">
        <v>415</v>
      </c>
      <c r="E122" s="11">
        <v>46126</v>
      </c>
      <c r="F122" s="10" t="s">
        <v>412</v>
      </c>
      <c r="G122" s="10" t="s">
        <v>35</v>
      </c>
      <c r="H122" s="11">
        <v>46125</v>
      </c>
      <c r="I122" s="10" t="s">
        <v>30</v>
      </c>
      <c r="J122" s="12" t="s">
        <v>37</v>
      </c>
      <c r="K122" s="13"/>
      <c r="L122" s="10"/>
      <c r="M122" s="14">
        <v>55217</v>
      </c>
      <c r="N122" s="10"/>
      <c r="O122" s="10"/>
      <c r="P122" s="10"/>
      <c r="Q122" s="10"/>
      <c r="R122" s="10"/>
      <c r="S122" s="12"/>
      <c r="T122" s="14"/>
      <c r="U122" s="14"/>
      <c r="V122" s="10"/>
      <c r="W122" s="10"/>
    </row>
    <row r="123" spans="1:23" ht="15" customHeight="1" outlineLevel="1">
      <c r="A123" s="4" t="s">
        <v>416</v>
      </c>
      <c r="B123" s="10"/>
      <c r="C123" s="10" t="s">
        <v>402</v>
      </c>
      <c r="D123" s="10" t="s">
        <v>417</v>
      </c>
      <c r="E123" s="11">
        <v>46128</v>
      </c>
      <c r="F123" s="10" t="s">
        <v>27</v>
      </c>
      <c r="G123" s="10" t="s">
        <v>28</v>
      </c>
      <c r="H123" s="11">
        <v>46127</v>
      </c>
      <c r="I123" s="10" t="s">
        <v>30</v>
      </c>
      <c r="J123" s="12" t="s">
        <v>37</v>
      </c>
      <c r="K123" s="13"/>
      <c r="L123" s="10"/>
      <c r="M123" s="14">
        <v>25351</v>
      </c>
      <c r="N123" s="10"/>
      <c r="O123" s="10"/>
      <c r="P123" s="10"/>
      <c r="Q123" s="10"/>
      <c r="R123" s="10"/>
      <c r="S123" s="12"/>
      <c r="T123" s="14"/>
      <c r="U123" s="14"/>
      <c r="V123" s="10"/>
      <c r="W123" s="10"/>
    </row>
    <row r="124" spans="1:23" ht="15" customHeight="1" outlineLevel="1">
      <c r="A124" s="4" t="s">
        <v>418</v>
      </c>
      <c r="B124" s="10"/>
      <c r="C124" s="10" t="s">
        <v>419</v>
      </c>
      <c r="D124" s="10" t="s">
        <v>420</v>
      </c>
      <c r="E124" s="11">
        <v>46129</v>
      </c>
      <c r="F124" s="10" t="s">
        <v>27</v>
      </c>
      <c r="G124" s="10" t="s">
        <v>28</v>
      </c>
      <c r="H124" s="11">
        <v>46128</v>
      </c>
      <c r="I124" s="10"/>
      <c r="J124" s="12" t="s">
        <v>37</v>
      </c>
      <c r="K124" s="13"/>
      <c r="L124" s="10"/>
      <c r="M124" s="14">
        <v>24077</v>
      </c>
      <c r="N124" s="10"/>
      <c r="O124" s="10"/>
      <c r="P124" s="10"/>
      <c r="Q124" s="10"/>
      <c r="R124" s="10"/>
      <c r="S124" s="12"/>
      <c r="T124" s="14"/>
      <c r="U124" s="14"/>
      <c r="V124" s="10"/>
      <c r="W124" s="10"/>
    </row>
    <row r="125" spans="1:23" ht="15" customHeight="1" outlineLevel="1">
      <c r="A125" s="4" t="s">
        <v>421</v>
      </c>
      <c r="B125" s="10"/>
      <c r="C125" s="10" t="s">
        <v>108</v>
      </c>
      <c r="D125" s="10" t="s">
        <v>422</v>
      </c>
      <c r="E125" s="11">
        <v>46135</v>
      </c>
      <c r="F125" s="10" t="s">
        <v>42</v>
      </c>
      <c r="G125" s="10" t="s">
        <v>28</v>
      </c>
      <c r="H125" s="11"/>
      <c r="I125" s="10" t="s">
        <v>44</v>
      </c>
      <c r="J125" s="12"/>
      <c r="K125" s="13"/>
      <c r="L125" s="10" t="s">
        <v>71</v>
      </c>
      <c r="M125" s="14">
        <v>5771</v>
      </c>
      <c r="N125" s="10"/>
      <c r="O125" s="10"/>
      <c r="P125" s="10"/>
      <c r="Q125" s="10"/>
      <c r="R125" s="10"/>
      <c r="S125" s="12"/>
      <c r="T125" s="14"/>
      <c r="U125" s="14"/>
      <c r="V125" s="10"/>
      <c r="W125" s="10"/>
    </row>
    <row r="126" spans="1:23" ht="15" customHeight="1" outlineLevel="1">
      <c r="A126" s="4" t="s">
        <v>423</v>
      </c>
      <c r="B126" s="10"/>
      <c r="C126" s="10" t="s">
        <v>424</v>
      </c>
      <c r="D126" s="10" t="s">
        <v>425</v>
      </c>
      <c r="E126" s="11">
        <v>46128</v>
      </c>
      <c r="F126" s="10" t="s">
        <v>30</v>
      </c>
      <c r="G126" s="10" t="s">
        <v>35</v>
      </c>
      <c r="H126" s="11">
        <v>46127</v>
      </c>
      <c r="I126" s="10" t="s">
        <v>30</v>
      </c>
      <c r="J126" s="12" t="s">
        <v>37</v>
      </c>
      <c r="K126" s="13"/>
      <c r="L126" s="10" t="s">
        <v>51</v>
      </c>
      <c r="M126" s="14">
        <v>6792</v>
      </c>
      <c r="N126" s="10"/>
      <c r="O126" s="10"/>
      <c r="P126" s="10"/>
      <c r="Q126" s="10"/>
      <c r="R126" s="10"/>
      <c r="S126" s="12"/>
      <c r="T126" s="14"/>
      <c r="U126" s="14"/>
      <c r="V126" s="10"/>
      <c r="W126" s="10"/>
    </row>
    <row r="127" spans="1:23" ht="15" customHeight="1" outlineLevel="1">
      <c r="A127" s="4" t="s">
        <v>426</v>
      </c>
      <c r="B127" s="10"/>
      <c r="C127" s="10" t="s">
        <v>424</v>
      </c>
      <c r="D127" s="10" t="s">
        <v>427</v>
      </c>
      <c r="E127" s="11">
        <v>46128</v>
      </c>
      <c r="F127" s="10" t="s">
        <v>30</v>
      </c>
      <c r="G127" s="10" t="s">
        <v>35</v>
      </c>
      <c r="H127" s="11">
        <v>46127</v>
      </c>
      <c r="I127" s="10"/>
      <c r="J127" s="12" t="s">
        <v>37</v>
      </c>
      <c r="K127" s="13"/>
      <c r="L127" s="10"/>
      <c r="M127" s="14" t="s">
        <v>428</v>
      </c>
      <c r="N127" s="10"/>
      <c r="O127" s="10"/>
      <c r="P127" s="10"/>
      <c r="Q127" s="10"/>
      <c r="R127" s="10"/>
      <c r="S127" s="12"/>
      <c r="T127" s="14"/>
      <c r="U127" s="14"/>
      <c r="V127" s="10"/>
      <c r="W127" s="10"/>
    </row>
    <row r="128" spans="1:23" ht="15" customHeight="1" outlineLevel="1">
      <c r="A128" s="4" t="s">
        <v>429</v>
      </c>
      <c r="B128" s="10"/>
      <c r="C128" s="10" t="s">
        <v>430</v>
      </c>
      <c r="D128" s="10" t="s">
        <v>431</v>
      </c>
      <c r="E128" s="11">
        <v>46128</v>
      </c>
      <c r="F128" s="10" t="s">
        <v>30</v>
      </c>
      <c r="G128" s="10" t="s">
        <v>35</v>
      </c>
      <c r="H128" s="11"/>
      <c r="I128" s="10"/>
      <c r="J128" s="12" t="s">
        <v>37</v>
      </c>
      <c r="K128" s="13"/>
      <c r="L128" s="10"/>
      <c r="M128" s="14">
        <v>7712</v>
      </c>
      <c r="N128" s="10"/>
      <c r="O128" s="10"/>
      <c r="P128" s="10"/>
      <c r="Q128" s="10"/>
      <c r="R128" s="10"/>
      <c r="S128" s="12"/>
      <c r="T128" s="14"/>
      <c r="U128" s="14"/>
      <c r="V128" s="10"/>
      <c r="W128" s="10"/>
    </row>
    <row r="129" spans="1:23" ht="15" customHeight="1" outlineLevel="1">
      <c r="A129" s="4" t="s">
        <v>432</v>
      </c>
      <c r="B129" s="10"/>
      <c r="C129" s="10" t="s">
        <v>430</v>
      </c>
      <c r="D129" s="10" t="s">
        <v>433</v>
      </c>
      <c r="E129" s="11">
        <v>46128</v>
      </c>
      <c r="F129" s="10" t="s">
        <v>30</v>
      </c>
      <c r="G129" s="10" t="s">
        <v>35</v>
      </c>
      <c r="H129" s="11"/>
      <c r="I129" s="10"/>
      <c r="J129" s="12" t="s">
        <v>37</v>
      </c>
      <c r="K129" s="13"/>
      <c r="L129" s="10"/>
      <c r="M129" s="14">
        <v>1755</v>
      </c>
      <c r="N129" s="10"/>
      <c r="O129" s="10"/>
      <c r="P129" s="10"/>
      <c r="Q129" s="10"/>
      <c r="R129" s="10"/>
      <c r="S129" s="12"/>
      <c r="T129" s="14"/>
      <c r="U129" s="14"/>
      <c r="V129" s="10"/>
      <c r="W129" s="10"/>
    </row>
    <row r="130" spans="1:23" ht="15" customHeight="1" outlineLevel="1">
      <c r="A130" s="4" t="s">
        <v>434</v>
      </c>
      <c r="B130" s="10"/>
      <c r="C130" s="10" t="s">
        <v>402</v>
      </c>
      <c r="D130" s="10" t="s">
        <v>435</v>
      </c>
      <c r="E130" s="11">
        <v>46128</v>
      </c>
      <c r="F130" s="10" t="s">
        <v>42</v>
      </c>
      <c r="G130" s="10" t="s">
        <v>28</v>
      </c>
      <c r="H130" s="11">
        <v>46128</v>
      </c>
      <c r="I130" s="10" t="s">
        <v>30</v>
      </c>
      <c r="J130" s="12" t="s">
        <v>37</v>
      </c>
      <c r="K130" s="13"/>
      <c r="L130" s="10"/>
      <c r="M130" s="14">
        <v>10038</v>
      </c>
      <c r="N130" s="10"/>
      <c r="O130" s="10"/>
      <c r="P130" s="10"/>
      <c r="Q130" s="10"/>
      <c r="R130" s="10"/>
      <c r="S130" s="12"/>
      <c r="T130" s="14"/>
      <c r="U130" s="14"/>
      <c r="V130" s="10"/>
      <c r="W130" s="10"/>
    </row>
    <row r="131" spans="1:23" ht="15" customHeight="1" outlineLevel="1">
      <c r="A131" s="4" t="s">
        <v>436</v>
      </c>
      <c r="B131" s="10"/>
      <c r="C131" s="10" t="s">
        <v>437</v>
      </c>
      <c r="D131" s="10" t="s">
        <v>438</v>
      </c>
      <c r="E131" s="11">
        <v>46132</v>
      </c>
      <c r="F131" s="10" t="s">
        <v>30</v>
      </c>
      <c r="G131" s="10" t="s">
        <v>35</v>
      </c>
      <c r="H131" s="11"/>
      <c r="I131" s="10"/>
      <c r="J131" s="12" t="s">
        <v>37</v>
      </c>
      <c r="K131" s="13"/>
      <c r="L131" s="10"/>
      <c r="M131" s="14">
        <v>3141</v>
      </c>
      <c r="N131" s="10"/>
      <c r="O131" s="10"/>
      <c r="P131" s="10"/>
      <c r="Q131" s="10"/>
      <c r="R131" s="10"/>
      <c r="S131" s="12"/>
      <c r="T131" s="14"/>
      <c r="U131" s="14"/>
      <c r="V131" s="10"/>
      <c r="W131" s="10"/>
    </row>
    <row r="132" spans="1:23" ht="15" customHeight="1" outlineLevel="1">
      <c r="A132" s="4" t="s">
        <v>439</v>
      </c>
      <c r="B132" s="10"/>
      <c r="C132" s="10" t="s">
        <v>437</v>
      </c>
      <c r="D132" s="10" t="s">
        <v>440</v>
      </c>
      <c r="E132" s="11">
        <v>46132</v>
      </c>
      <c r="F132" s="10" t="s">
        <v>30</v>
      </c>
      <c r="G132" s="10" t="s">
        <v>35</v>
      </c>
      <c r="H132" s="11"/>
      <c r="I132" s="10"/>
      <c r="J132" s="12" t="s">
        <v>37</v>
      </c>
      <c r="K132" s="13"/>
      <c r="L132" s="10"/>
      <c r="M132" s="14">
        <v>15468</v>
      </c>
      <c r="N132" s="10"/>
      <c r="O132" s="10"/>
      <c r="P132" s="10"/>
      <c r="Q132" s="10"/>
      <c r="R132" s="10"/>
      <c r="S132" s="12"/>
      <c r="T132" s="14"/>
      <c r="U132" s="14"/>
      <c r="V132" s="10"/>
      <c r="W132" s="10"/>
    </row>
    <row r="133" spans="1:23" ht="15" customHeight="1" outlineLevel="1">
      <c r="A133" s="4" t="s">
        <v>441</v>
      </c>
      <c r="B133" s="10"/>
      <c r="C133" s="10" t="s">
        <v>442</v>
      </c>
      <c r="D133" s="10" t="s">
        <v>443</v>
      </c>
      <c r="E133" s="11">
        <v>46133</v>
      </c>
      <c r="F133" s="10" t="s">
        <v>30</v>
      </c>
      <c r="G133" s="10" t="s">
        <v>28</v>
      </c>
      <c r="H133" s="11">
        <v>46133</v>
      </c>
      <c r="I133" s="10"/>
      <c r="J133" s="12" t="s">
        <v>37</v>
      </c>
      <c r="K133" s="13"/>
      <c r="L133" s="10"/>
      <c r="M133" s="14">
        <v>4539</v>
      </c>
      <c r="N133" s="10"/>
      <c r="O133" s="10"/>
      <c r="P133" s="10"/>
      <c r="Q133" s="10"/>
      <c r="R133" s="10"/>
      <c r="S133" s="12"/>
      <c r="T133" s="14"/>
      <c r="U133" s="14"/>
      <c r="V133" s="10"/>
      <c r="W133" s="10"/>
    </row>
    <row r="134" spans="1:23" ht="15" customHeight="1" outlineLevel="1">
      <c r="A134" s="4" t="s">
        <v>444</v>
      </c>
      <c r="B134" s="10"/>
      <c r="C134" s="10" t="s">
        <v>25</v>
      </c>
      <c r="D134" s="10" t="s">
        <v>445</v>
      </c>
      <c r="E134" s="11">
        <v>46140</v>
      </c>
      <c r="F134" s="10" t="s">
        <v>446</v>
      </c>
      <c r="G134" s="10" t="s">
        <v>35</v>
      </c>
      <c r="H134" s="11"/>
      <c r="I134" s="10"/>
      <c r="J134" s="12"/>
      <c r="K134" s="13"/>
      <c r="L134" s="10"/>
      <c r="M134" s="14"/>
      <c r="N134" s="10"/>
      <c r="O134" s="10"/>
      <c r="P134" s="10"/>
      <c r="Q134" s="10"/>
      <c r="R134" s="10"/>
      <c r="S134" s="12"/>
      <c r="T134" s="14"/>
      <c r="U134" s="14"/>
      <c r="V134" s="10"/>
      <c r="W134" s="10"/>
    </row>
    <row r="135" spans="1:23" ht="15" customHeight="1" outlineLevel="1">
      <c r="A135" s="4" t="s">
        <v>447</v>
      </c>
      <c r="B135" s="10"/>
      <c r="C135" s="10" t="s">
        <v>448</v>
      </c>
      <c r="D135" s="10" t="s">
        <v>449</v>
      </c>
      <c r="E135" s="11">
        <v>46133</v>
      </c>
      <c r="F135" s="10" t="s">
        <v>30</v>
      </c>
      <c r="G135" s="10" t="s">
        <v>28</v>
      </c>
      <c r="H135" s="11">
        <v>46133</v>
      </c>
      <c r="I135" s="10"/>
      <c r="J135" s="12" t="s">
        <v>37</v>
      </c>
      <c r="K135" s="13"/>
      <c r="L135" s="10" t="s">
        <v>71</v>
      </c>
      <c r="M135" s="14">
        <v>2108</v>
      </c>
      <c r="N135" s="10"/>
      <c r="O135" s="10"/>
      <c r="P135" s="10"/>
      <c r="Q135" s="10"/>
      <c r="R135" s="10"/>
      <c r="S135" s="12"/>
      <c r="T135" s="14"/>
      <c r="U135" s="14"/>
      <c r="V135" s="10"/>
      <c r="W135" s="10"/>
    </row>
    <row r="136" spans="1:23" ht="15" customHeight="1" outlineLevel="1">
      <c r="A136" s="4" t="s">
        <v>450</v>
      </c>
      <c r="B136" s="10"/>
      <c r="C136" s="10" t="s">
        <v>121</v>
      </c>
      <c r="D136" s="10" t="s">
        <v>451</v>
      </c>
      <c r="E136" s="11"/>
      <c r="F136" s="10"/>
      <c r="G136" s="10"/>
      <c r="H136" s="11"/>
      <c r="I136" s="10"/>
      <c r="J136" s="12"/>
      <c r="K136" s="13"/>
      <c r="L136" s="10"/>
      <c r="M136" s="14"/>
      <c r="N136" s="10"/>
      <c r="O136" s="10"/>
      <c r="P136" s="10"/>
      <c r="Q136" s="10"/>
      <c r="R136" s="10"/>
      <c r="S136" s="12"/>
      <c r="T136" s="14"/>
      <c r="U136" s="14"/>
      <c r="V136" s="10"/>
      <c r="W136" s="10"/>
    </row>
    <row r="137" spans="1:23" ht="15" customHeight="1" outlineLevel="1">
      <c r="A137" s="4" t="s">
        <v>452</v>
      </c>
      <c r="B137" s="10"/>
      <c r="C137" s="10"/>
      <c r="D137" s="10"/>
      <c r="E137" s="11"/>
      <c r="F137" s="10"/>
      <c r="G137" s="10"/>
      <c r="H137" s="11"/>
      <c r="I137" s="10"/>
      <c r="J137" s="12"/>
      <c r="K137" s="13"/>
      <c r="L137" s="10"/>
      <c r="M137" s="14"/>
      <c r="N137" s="10"/>
      <c r="O137" s="10"/>
      <c r="P137" s="10"/>
      <c r="Q137" s="10"/>
      <c r="R137" s="10"/>
      <c r="S137" s="12"/>
      <c r="T137" s="14"/>
      <c r="U137" s="14"/>
      <c r="V137" s="10"/>
      <c r="W137" s="10"/>
    </row>
    <row r="138" spans="1:23" ht="15" customHeight="1" outlineLevel="1">
      <c r="A138" s="4" t="s">
        <v>453</v>
      </c>
      <c r="B138" s="10"/>
      <c r="C138" s="10"/>
      <c r="D138" s="10"/>
      <c r="E138" s="11"/>
      <c r="F138" s="10"/>
      <c r="G138" s="10"/>
      <c r="H138" s="11"/>
      <c r="I138" s="10"/>
      <c r="J138" s="12"/>
      <c r="K138" s="13"/>
      <c r="L138" s="10"/>
      <c r="M138" s="14"/>
      <c r="N138" s="10"/>
      <c r="O138" s="10"/>
      <c r="P138" s="10"/>
      <c r="Q138" s="10"/>
      <c r="R138" s="10"/>
      <c r="S138" s="12"/>
      <c r="T138" s="14"/>
      <c r="U138" s="14"/>
      <c r="V138" s="10"/>
      <c r="W138" s="10"/>
    </row>
    <row r="139" spans="1:23" ht="15" customHeight="1" outlineLevel="1">
      <c r="A139" s="4" t="s">
        <v>454</v>
      </c>
      <c r="B139" s="10"/>
      <c r="C139" s="10"/>
      <c r="D139" s="10"/>
      <c r="E139" s="11"/>
      <c r="F139" s="10"/>
      <c r="G139" s="10"/>
      <c r="H139" s="11"/>
      <c r="I139" s="10"/>
      <c r="J139" s="12"/>
      <c r="K139" s="13"/>
      <c r="L139" s="10"/>
      <c r="M139" s="14"/>
      <c r="N139" s="10"/>
      <c r="O139" s="10"/>
      <c r="P139" s="10"/>
      <c r="Q139" s="10"/>
      <c r="R139" s="10"/>
      <c r="S139" s="12"/>
      <c r="T139" s="14"/>
      <c r="U139" s="14"/>
      <c r="V139" s="10"/>
      <c r="W139" s="10"/>
    </row>
    <row r="140" spans="1:23" ht="15" customHeight="1">
      <c r="A140" s="2"/>
      <c r="B140" s="3" t="s">
        <v>455</v>
      </c>
      <c r="C140" s="2"/>
      <c r="D140" s="2"/>
      <c r="E140" s="67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" customHeight="1" outlineLevel="1">
      <c r="A141" s="4" t="s">
        <v>456</v>
      </c>
      <c r="B141" s="10"/>
      <c r="C141" s="10" t="s">
        <v>457</v>
      </c>
      <c r="D141" s="10" t="s">
        <v>458</v>
      </c>
      <c r="E141" s="11">
        <v>46147</v>
      </c>
      <c r="F141" s="10"/>
      <c r="G141" s="10"/>
      <c r="H141" s="11"/>
      <c r="I141" s="10"/>
      <c r="J141" s="12"/>
      <c r="K141" s="13"/>
      <c r="L141" s="10"/>
      <c r="M141" s="14"/>
      <c r="N141" s="10"/>
      <c r="O141" s="10"/>
      <c r="P141" s="10"/>
      <c r="Q141" s="10"/>
      <c r="R141" s="10"/>
      <c r="S141" s="12"/>
      <c r="T141" s="14"/>
      <c r="U141" s="14"/>
      <c r="V141" s="10"/>
      <c r="W141" s="10"/>
    </row>
    <row r="142" spans="1:23" ht="15" customHeight="1" outlineLevel="1">
      <c r="A142" s="4"/>
      <c r="B142" s="10"/>
      <c r="C142" s="10"/>
      <c r="D142" s="10"/>
      <c r="E142" s="11"/>
      <c r="F142" s="10"/>
      <c r="G142" s="10"/>
      <c r="H142" s="11"/>
      <c r="I142" s="10"/>
      <c r="J142" s="12"/>
      <c r="K142" s="13"/>
      <c r="L142" s="10"/>
      <c r="M142" s="14"/>
      <c r="N142" s="10"/>
      <c r="O142" s="10"/>
      <c r="P142" s="10"/>
      <c r="Q142" s="10"/>
      <c r="R142" s="10"/>
      <c r="S142" s="12"/>
      <c r="T142" s="14"/>
      <c r="U142" s="14"/>
      <c r="V142" s="10"/>
      <c r="W142" s="10"/>
    </row>
    <row r="143" spans="1:23" ht="15" customHeight="1" outlineLevel="1">
      <c r="A143" s="4"/>
      <c r="B143" s="10"/>
      <c r="C143" s="10"/>
      <c r="D143" s="10"/>
      <c r="E143" s="11"/>
      <c r="F143" s="10"/>
      <c r="G143" s="10"/>
      <c r="H143" s="11"/>
      <c r="I143" s="10"/>
      <c r="J143" s="12"/>
      <c r="K143" s="13"/>
      <c r="L143" s="10"/>
      <c r="M143" s="14"/>
      <c r="N143" s="10"/>
      <c r="O143" s="10"/>
      <c r="P143" s="10"/>
      <c r="Q143" s="10"/>
      <c r="R143" s="10"/>
      <c r="S143" s="12"/>
      <c r="T143" s="14"/>
      <c r="U143" s="14"/>
      <c r="V143" s="10"/>
      <c r="W143" s="10"/>
    </row>
    <row r="144" spans="1:23" ht="15" customHeight="1" outlineLevel="1">
      <c r="A144" s="4"/>
      <c r="B144" s="10"/>
      <c r="C144" s="10"/>
      <c r="D144" s="10"/>
      <c r="E144" s="11"/>
      <c r="F144" s="10"/>
      <c r="G144" s="10"/>
      <c r="H144" s="11"/>
      <c r="I144" s="10"/>
      <c r="J144" s="12"/>
      <c r="K144" s="13"/>
      <c r="L144" s="10"/>
      <c r="M144" s="14"/>
      <c r="N144" s="10"/>
      <c r="O144" s="10"/>
      <c r="P144" s="10"/>
      <c r="Q144" s="10"/>
      <c r="R144" s="10"/>
      <c r="S144" s="12"/>
      <c r="T144" s="14"/>
      <c r="U144" s="14"/>
      <c r="V144" s="10"/>
      <c r="W144" s="10"/>
    </row>
    <row r="145" spans="1:23" ht="15" customHeight="1" outlineLevel="1">
      <c r="A145" s="4"/>
      <c r="B145" s="10"/>
      <c r="C145" s="10"/>
      <c r="D145" s="10"/>
      <c r="E145" s="11"/>
      <c r="F145" s="10"/>
      <c r="G145" s="10"/>
      <c r="H145" s="11"/>
      <c r="I145" s="10"/>
      <c r="J145" s="12"/>
      <c r="K145" s="13"/>
      <c r="L145" s="10"/>
      <c r="M145" s="14"/>
      <c r="N145" s="10"/>
      <c r="O145" s="10"/>
      <c r="P145" s="10"/>
      <c r="Q145" s="10"/>
      <c r="R145" s="10"/>
      <c r="S145" s="12"/>
      <c r="T145" s="14"/>
      <c r="U145" s="14"/>
      <c r="V145" s="10"/>
      <c r="W145" s="10"/>
    </row>
    <row r="146" spans="1:23" ht="15" customHeight="1" outlineLevel="1">
      <c r="A146" s="4"/>
      <c r="B146" s="10"/>
      <c r="C146" s="10"/>
      <c r="D146" s="10"/>
      <c r="E146" s="11"/>
      <c r="F146" s="10"/>
      <c r="G146" s="10"/>
      <c r="H146" s="11"/>
      <c r="I146" s="10"/>
      <c r="J146" s="12"/>
      <c r="K146" s="13"/>
      <c r="L146" s="10"/>
      <c r="M146" s="14"/>
      <c r="N146" s="10"/>
      <c r="O146" s="10"/>
      <c r="P146" s="10"/>
      <c r="Q146" s="10"/>
      <c r="R146" s="10"/>
      <c r="S146" s="12"/>
      <c r="T146" s="14"/>
      <c r="U146" s="14"/>
      <c r="V146" s="10"/>
      <c r="W146" s="10"/>
    </row>
    <row r="147" spans="1:23" ht="15" customHeight="1" outlineLevel="1">
      <c r="A147" s="4"/>
      <c r="B147" s="10"/>
      <c r="C147" s="10"/>
      <c r="D147" s="10"/>
      <c r="E147" s="11"/>
      <c r="F147" s="10"/>
      <c r="G147" s="10"/>
      <c r="H147" s="11"/>
      <c r="I147" s="10"/>
      <c r="J147" s="12"/>
      <c r="K147" s="13"/>
      <c r="L147" s="10"/>
      <c r="M147" s="14"/>
      <c r="N147" s="10"/>
      <c r="O147" s="10"/>
      <c r="P147" s="10"/>
      <c r="Q147" s="10"/>
      <c r="R147" s="10"/>
      <c r="S147" s="12"/>
      <c r="T147" s="14"/>
      <c r="U147" s="14"/>
      <c r="V147" s="10"/>
      <c r="W147" s="10"/>
    </row>
    <row r="148" spans="1:23" ht="15" customHeight="1" outlineLevel="1">
      <c r="A148" s="4"/>
      <c r="B148" s="10"/>
      <c r="C148" s="10"/>
      <c r="D148" s="10"/>
      <c r="E148" s="11"/>
      <c r="F148" s="10"/>
      <c r="G148" s="10"/>
      <c r="H148" s="11"/>
      <c r="I148" s="10"/>
      <c r="J148" s="12"/>
      <c r="K148" s="13"/>
      <c r="L148" s="10"/>
      <c r="M148" s="14"/>
      <c r="N148" s="10"/>
      <c r="O148" s="10"/>
      <c r="P148" s="10"/>
      <c r="Q148" s="10"/>
      <c r="R148" s="10"/>
      <c r="S148" s="12"/>
      <c r="T148" s="14"/>
      <c r="U148" s="14"/>
      <c r="V148" s="10"/>
      <c r="W148" s="10"/>
    </row>
    <row r="149" spans="1:23" ht="15" customHeight="1" outlineLevel="1">
      <c r="A149" s="4"/>
      <c r="B149" s="10"/>
      <c r="C149" s="10"/>
      <c r="D149" s="10"/>
      <c r="E149" s="11"/>
      <c r="F149" s="10"/>
      <c r="G149" s="10"/>
      <c r="H149" s="11"/>
      <c r="I149" s="10"/>
      <c r="J149" s="12"/>
      <c r="K149" s="13"/>
      <c r="L149" s="10"/>
      <c r="M149" s="14"/>
      <c r="N149" s="10"/>
      <c r="O149" s="10"/>
      <c r="P149" s="10"/>
      <c r="Q149" s="10"/>
      <c r="R149" s="10"/>
      <c r="S149" s="12"/>
      <c r="T149" s="14"/>
      <c r="U149" s="14"/>
      <c r="V149" s="10"/>
      <c r="W149" s="10"/>
    </row>
    <row r="150" spans="1:23" ht="15" customHeight="1" outlineLevel="1">
      <c r="A150" s="4"/>
      <c r="B150" s="10"/>
      <c r="C150" s="10"/>
      <c r="D150" s="10"/>
      <c r="E150" s="11"/>
      <c r="F150" s="10"/>
      <c r="G150" s="10"/>
      <c r="H150" s="11"/>
      <c r="I150" s="10"/>
      <c r="J150" s="12"/>
      <c r="K150" s="13"/>
      <c r="L150" s="10"/>
      <c r="M150" s="14"/>
      <c r="N150" s="10"/>
      <c r="O150" s="10"/>
      <c r="P150" s="10"/>
      <c r="Q150" s="10"/>
      <c r="R150" s="10"/>
      <c r="S150" s="12"/>
      <c r="T150" s="14"/>
      <c r="U150" s="14"/>
      <c r="V150" s="10"/>
      <c r="W150" s="10"/>
    </row>
    <row r="151" spans="1:23" ht="15" customHeight="1" outlineLevel="1">
      <c r="A151" s="4"/>
      <c r="B151" s="10"/>
      <c r="C151" s="10"/>
      <c r="D151" s="10"/>
      <c r="E151" s="11"/>
      <c r="F151" s="10"/>
      <c r="G151" s="10"/>
      <c r="H151" s="11"/>
      <c r="I151" s="10"/>
      <c r="J151" s="12"/>
      <c r="K151" s="13"/>
      <c r="L151" s="10"/>
      <c r="M151" s="14"/>
      <c r="N151" s="10"/>
      <c r="O151" s="10"/>
      <c r="P151" s="10"/>
      <c r="Q151" s="10"/>
      <c r="R151" s="10"/>
      <c r="S151" s="12"/>
      <c r="T151" s="14"/>
      <c r="U151" s="14"/>
      <c r="V151" s="10"/>
      <c r="W151" s="10"/>
    </row>
    <row r="152" spans="1:23" ht="15" customHeight="1" outlineLevel="1">
      <c r="A152" s="4"/>
      <c r="B152" s="10"/>
      <c r="C152" s="10"/>
      <c r="D152" s="10"/>
      <c r="E152" s="11"/>
      <c r="F152" s="10"/>
      <c r="G152" s="10"/>
      <c r="H152" s="11"/>
      <c r="I152" s="10"/>
      <c r="J152" s="12"/>
      <c r="K152" s="13"/>
      <c r="L152" s="10"/>
      <c r="M152" s="14"/>
      <c r="N152" s="10"/>
      <c r="O152" s="10"/>
      <c r="P152" s="10"/>
      <c r="Q152" s="10"/>
      <c r="R152" s="10"/>
      <c r="S152" s="12"/>
      <c r="T152" s="14"/>
      <c r="U152" s="14"/>
      <c r="V152" s="10"/>
      <c r="W152" s="10"/>
    </row>
    <row r="153" spans="1:23" ht="15" customHeight="1" outlineLevel="1">
      <c r="A153" s="4"/>
      <c r="B153" s="10"/>
      <c r="C153" s="10"/>
      <c r="D153" s="10"/>
      <c r="E153" s="11"/>
      <c r="F153" s="10"/>
      <c r="G153" s="10"/>
      <c r="H153" s="11"/>
      <c r="I153" s="10"/>
      <c r="J153" s="12"/>
      <c r="K153" s="13"/>
      <c r="L153" s="10"/>
      <c r="M153" s="14"/>
      <c r="N153" s="10"/>
      <c r="O153" s="10"/>
      <c r="P153" s="10"/>
      <c r="Q153" s="10"/>
      <c r="R153" s="10"/>
      <c r="S153" s="12"/>
      <c r="T153" s="14"/>
      <c r="U153" s="14"/>
      <c r="V153" s="10"/>
      <c r="W153" s="10"/>
    </row>
    <row r="154" spans="1:23" ht="15" customHeight="1">
      <c r="A154" s="2"/>
      <c r="B154" s="3" t="s">
        <v>459</v>
      </c>
      <c r="C154" s="2"/>
      <c r="D154" s="2"/>
      <c r="E154" s="67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" customHeight="1">
      <c r="A155" s="2"/>
      <c r="B155" s="3" t="s">
        <v>460</v>
      </c>
      <c r="C155" s="2"/>
      <c r="D155" s="2"/>
      <c r="E155" s="67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" customHeight="1">
      <c r="A156" s="2"/>
      <c r="B156" s="3" t="s">
        <v>461</v>
      </c>
      <c r="C156" s="2"/>
      <c r="D156" s="2"/>
      <c r="E156" s="67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" customHeight="1">
      <c r="A157" s="2"/>
      <c r="B157" s="3" t="s">
        <v>462</v>
      </c>
      <c r="C157" s="2"/>
      <c r="D157" s="2"/>
      <c r="E157" s="67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</sheetData>
  <conditionalFormatting sqref="E2:E157">
    <cfRule type="expression" dxfId="1" priority="1">
      <formula>AND(E2&lt;&gt;"", E2=TODAY())</formula>
    </cfRule>
  </conditionalFormatting>
  <conditionalFormatting sqref="E2:E157">
    <cfRule type="expression" dxfId="0" priority="2">
      <formula>AND(E2&lt;&gt;"", E2&gt;TODAY(), E2&lt;=WORKDAY(TODAY(),2))</formula>
    </cfRule>
  </conditionalFormatting>
  <dataValidations count="5">
    <dataValidation type="list" allowBlank="1" sqref="F2:F158" xr:uid="{00000000-0002-0000-0000-000000000000}">
      <formula1>"SD,50% SD,100% SD,DD,50% DD,75% DD,100% DD,CD,75% CD,Bid Set,Permit,Email"</formula1>
      <formula2>0</formula2>
    </dataValidation>
    <dataValidation type="list" allowBlank="1" sqref="G2:G158" xr:uid="{00000000-0002-0000-0000-000001000000}">
      <formula1>"Hard Bid,Budget,Hard Bid (Fab Only),Design Assist,Install Only,Re-Price,ROM"</formula1>
      <formula2>0</formula2>
    </dataValidation>
    <dataValidation type="list" allowBlank="1" sqref="I2:I158" xr:uid="{00000000-0002-0000-0000-000002000000}">
      <formula1>"Email,BuildingConnected,Procore,ConstructConnect,In Person,Other"</formula1>
      <formula2>0</formula2>
    </dataValidation>
    <dataValidation type="list" allowBlank="1" sqref="J2:J158" xr:uid="{00000000-0002-0000-0000-000003000000}">
      <formula1>"Pending,Sent,Won,On Hold,Client Lost,Client Backed Out,Declined,Lost,No Bid"</formula1>
      <formula2>0</formula2>
    </dataValidation>
    <dataValidation type="list" allowBlank="1" sqref="L2:L158" xr:uid="{00000000-0002-0000-0000-000004000000}">
      <formula1>"Healthcare,Hospital,Commercial,Commercial TI,Dental,School,TI,Renovation,Residential,Vet"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W188"/>
  <sheetViews>
    <sheetView zoomScaleNormal="100" workbookViewId="0">
      <pane xSplit="1" ySplit="1" topLeftCell="B179" activePane="bottomRight" state="frozen"/>
      <selection pane="bottomRight" activeCell="D187" sqref="D187"/>
      <selection pane="bottomLeft" activeCell="A2" sqref="A2"/>
      <selection pane="topRight" activeCell="B1" sqref="B1"/>
    </sheetView>
  </sheetViews>
  <sheetFormatPr defaultColWidth="8.7109375" defaultRowHeight="15" outlineLevelRow="1"/>
  <cols>
    <col min="1" max="1" width="13" customWidth="1"/>
    <col min="2" max="2" width="9" customWidth="1"/>
    <col min="3" max="3" width="18" customWidth="1"/>
    <col min="4" max="4" width="34" customWidth="1"/>
    <col min="5" max="5" width="13" customWidth="1"/>
    <col min="6" max="7" width="14" customWidth="1"/>
    <col min="8" max="8" width="12" customWidth="1"/>
    <col min="9" max="10" width="15" customWidth="1"/>
    <col min="11" max="11" width="6" customWidth="1"/>
    <col min="12" max="12" width="16" customWidth="1"/>
    <col min="13" max="13" width="15" customWidth="1"/>
    <col min="14" max="16" width="14" customWidth="1"/>
    <col min="17" max="17" width="24" customWidth="1"/>
    <col min="18" max="18" width="20" customWidth="1"/>
    <col min="19" max="20" width="13" customWidth="1"/>
    <col min="21" max="21" width="16" customWidth="1"/>
    <col min="22" max="22" width="12" customWidth="1"/>
    <col min="23" max="23" width="24" customWidth="1"/>
  </cols>
  <sheetData>
    <row r="1" spans="1:23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" customHeight="1">
      <c r="A2" s="2"/>
      <c r="B2" s="3" t="s">
        <v>455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" customHeight="1" outlineLevel="1">
      <c r="A3" s="4" t="s">
        <v>463</v>
      </c>
      <c r="B3" s="10"/>
      <c r="C3" s="10" t="s">
        <v>343</v>
      </c>
      <c r="D3" s="10" t="s">
        <v>464</v>
      </c>
      <c r="E3" s="11" t="s">
        <v>465</v>
      </c>
      <c r="F3" s="10" t="s">
        <v>42</v>
      </c>
      <c r="G3" s="10" t="s">
        <v>28</v>
      </c>
      <c r="H3" s="11" t="s">
        <v>465</v>
      </c>
      <c r="I3" s="10" t="s">
        <v>30</v>
      </c>
      <c r="J3" s="12" t="s">
        <v>37</v>
      </c>
      <c r="K3" s="13" t="str">
        <f>IF(J3="Won","✔","")</f>
        <v/>
      </c>
      <c r="L3" s="10" t="s">
        <v>271</v>
      </c>
      <c r="M3" s="14">
        <v>53368</v>
      </c>
      <c r="N3" s="10"/>
      <c r="O3" s="10"/>
      <c r="P3" s="10"/>
      <c r="Q3" s="10"/>
      <c r="R3" s="10"/>
      <c r="S3" s="12"/>
      <c r="T3" s="14"/>
      <c r="U3" s="14"/>
      <c r="V3" s="10"/>
      <c r="W3" s="10"/>
    </row>
    <row r="4" spans="1:23" ht="15" customHeight="1" outlineLevel="1">
      <c r="A4" s="4" t="s">
        <v>466</v>
      </c>
      <c r="B4" s="10"/>
      <c r="C4" s="10" t="s">
        <v>108</v>
      </c>
      <c r="D4" s="10" t="s">
        <v>467</v>
      </c>
      <c r="E4" s="11" t="s">
        <v>468</v>
      </c>
      <c r="F4" s="10" t="s">
        <v>42</v>
      </c>
      <c r="G4" s="10" t="s">
        <v>28</v>
      </c>
      <c r="H4" s="11" t="s">
        <v>468</v>
      </c>
      <c r="I4" s="10" t="s">
        <v>30</v>
      </c>
      <c r="J4" s="12" t="s">
        <v>37</v>
      </c>
      <c r="K4" s="13" t="str">
        <f>IF(J4="Won","✔","")</f>
        <v/>
      </c>
      <c r="L4" s="10" t="s">
        <v>271</v>
      </c>
      <c r="M4" s="14">
        <v>19226</v>
      </c>
      <c r="N4" s="10"/>
      <c r="O4" s="10"/>
      <c r="P4" s="10"/>
      <c r="Q4" s="10"/>
      <c r="R4" s="10"/>
      <c r="S4" s="12"/>
      <c r="T4" s="14"/>
      <c r="U4" s="14"/>
      <c r="V4" s="10"/>
      <c r="W4" s="10"/>
    </row>
    <row r="5" spans="1:23" ht="15" customHeight="1" outlineLevel="1">
      <c r="A5" s="4" t="s">
        <v>469</v>
      </c>
      <c r="B5" s="10"/>
      <c r="C5" s="10" t="s">
        <v>102</v>
      </c>
      <c r="D5" s="10" t="s">
        <v>470</v>
      </c>
      <c r="E5" s="11" t="s">
        <v>471</v>
      </c>
      <c r="F5" s="10"/>
      <c r="G5" s="10" t="s">
        <v>126</v>
      </c>
      <c r="H5" s="11" t="s">
        <v>471</v>
      </c>
      <c r="I5" s="10" t="s">
        <v>30</v>
      </c>
      <c r="J5" s="12" t="s">
        <v>37</v>
      </c>
      <c r="K5" s="13" t="str">
        <f>IF(J5="Won","✔","")</f>
        <v/>
      </c>
      <c r="L5" s="10" t="s">
        <v>413</v>
      </c>
      <c r="M5" s="14" t="s">
        <v>472</v>
      </c>
      <c r="N5" s="10"/>
      <c r="O5" s="10"/>
      <c r="P5" s="10"/>
      <c r="Q5" s="10"/>
      <c r="R5" s="10"/>
      <c r="S5" s="12"/>
      <c r="T5" s="14"/>
      <c r="U5" s="14"/>
      <c r="V5" s="10"/>
      <c r="W5" s="10"/>
    </row>
    <row r="6" spans="1:23" ht="15" customHeight="1" outlineLevel="1">
      <c r="A6" s="4" t="s">
        <v>473</v>
      </c>
      <c r="B6" s="10"/>
      <c r="C6" s="10" t="s">
        <v>53</v>
      </c>
      <c r="D6" s="10" t="s">
        <v>474</v>
      </c>
      <c r="E6" s="11" t="s">
        <v>475</v>
      </c>
      <c r="F6" s="10"/>
      <c r="G6" s="10" t="s">
        <v>28</v>
      </c>
      <c r="H6" s="11" t="s">
        <v>475</v>
      </c>
      <c r="I6" s="10" t="s">
        <v>30</v>
      </c>
      <c r="J6" s="12" t="s">
        <v>37</v>
      </c>
      <c r="K6" s="13" t="str">
        <f>IF(J6="Won","✔","")</f>
        <v/>
      </c>
      <c r="L6" s="10" t="s">
        <v>150</v>
      </c>
      <c r="M6" s="14">
        <v>22134</v>
      </c>
      <c r="N6" s="10"/>
      <c r="O6" s="10"/>
      <c r="P6" s="10"/>
      <c r="Q6" s="10"/>
      <c r="R6" s="10"/>
      <c r="S6" s="12"/>
      <c r="T6" s="14"/>
      <c r="U6" s="14"/>
      <c r="V6" s="10"/>
      <c r="W6" s="10"/>
    </row>
    <row r="7" spans="1:23" ht="15" customHeight="1" outlineLevel="1">
      <c r="A7" s="4" t="s">
        <v>476</v>
      </c>
      <c r="B7" s="15"/>
      <c r="C7" s="15" t="s">
        <v>477</v>
      </c>
      <c r="D7" s="15" t="s">
        <v>478</v>
      </c>
      <c r="E7" s="16" t="s">
        <v>479</v>
      </c>
      <c r="F7" s="15"/>
      <c r="G7" s="15" t="s">
        <v>28</v>
      </c>
      <c r="H7" s="16" t="s">
        <v>479</v>
      </c>
      <c r="I7" s="15" t="s">
        <v>30</v>
      </c>
      <c r="J7" s="17" t="s">
        <v>145</v>
      </c>
      <c r="K7" s="18" t="str">
        <f>IF(J7="Won","✔","")</f>
        <v/>
      </c>
      <c r="L7" s="15"/>
      <c r="M7" s="19">
        <v>6984</v>
      </c>
      <c r="N7" s="15"/>
      <c r="O7" s="15"/>
      <c r="P7" s="15"/>
      <c r="Q7" s="15"/>
      <c r="R7" s="15" t="s">
        <v>480</v>
      </c>
      <c r="S7" s="17" t="s">
        <v>481</v>
      </c>
      <c r="T7" s="19"/>
      <c r="U7" s="19"/>
      <c r="V7" s="15"/>
      <c r="W7" s="15"/>
    </row>
    <row r="8" spans="1:23" ht="15" customHeight="1" outlineLevel="1">
      <c r="A8" s="4" t="s">
        <v>482</v>
      </c>
      <c r="B8" s="10"/>
      <c r="C8" s="10" t="s">
        <v>102</v>
      </c>
      <c r="D8" s="10" t="s">
        <v>483</v>
      </c>
      <c r="E8" s="11" t="s">
        <v>465</v>
      </c>
      <c r="F8" s="10"/>
      <c r="G8" s="10" t="s">
        <v>35</v>
      </c>
      <c r="H8" s="11" t="s">
        <v>465</v>
      </c>
      <c r="I8" s="10" t="s">
        <v>30</v>
      </c>
      <c r="J8" s="12" t="s">
        <v>37</v>
      </c>
      <c r="K8" s="13" t="str">
        <f>IF(J8="Won","✔","")</f>
        <v/>
      </c>
      <c r="L8" s="10" t="s">
        <v>150</v>
      </c>
      <c r="M8" s="14">
        <v>18814</v>
      </c>
      <c r="N8" s="10"/>
      <c r="O8" s="10"/>
      <c r="P8" s="10"/>
      <c r="Q8" s="10" t="s">
        <v>484</v>
      </c>
      <c r="R8" s="10"/>
      <c r="S8" s="12"/>
      <c r="T8" s="14"/>
      <c r="U8" s="14"/>
      <c r="V8" s="10"/>
      <c r="W8" s="10"/>
    </row>
    <row r="9" spans="1:23" ht="15" customHeight="1" outlineLevel="1">
      <c r="A9" s="4" t="s">
        <v>485</v>
      </c>
      <c r="B9" s="10"/>
      <c r="C9" s="10" t="s">
        <v>386</v>
      </c>
      <c r="D9" s="10" t="s">
        <v>486</v>
      </c>
      <c r="E9" s="11" t="s">
        <v>487</v>
      </c>
      <c r="F9" s="10"/>
      <c r="G9" s="10" t="s">
        <v>35</v>
      </c>
      <c r="H9" s="11" t="s">
        <v>487</v>
      </c>
      <c r="I9" s="10" t="s">
        <v>30</v>
      </c>
      <c r="J9" s="12" t="s">
        <v>37</v>
      </c>
      <c r="K9" s="13" t="str">
        <f>IF(J9="Won","✔","")</f>
        <v/>
      </c>
      <c r="L9" s="10" t="s">
        <v>488</v>
      </c>
      <c r="M9" s="14">
        <v>8329</v>
      </c>
      <c r="N9" s="10"/>
      <c r="O9" s="10"/>
      <c r="P9" s="10"/>
      <c r="Q9" s="10"/>
      <c r="R9" s="10"/>
      <c r="S9" s="12"/>
      <c r="T9" s="14"/>
      <c r="U9" s="14"/>
      <c r="V9" s="10"/>
      <c r="W9" s="10"/>
    </row>
    <row r="10" spans="1:23" ht="15" customHeight="1">
      <c r="A10" s="2"/>
      <c r="B10" s="3" t="s">
        <v>459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" customHeight="1" outlineLevel="1">
      <c r="A11" s="4" t="s">
        <v>489</v>
      </c>
      <c r="B11" s="15"/>
      <c r="C11" s="15" t="s">
        <v>386</v>
      </c>
      <c r="D11" s="15" t="s">
        <v>490</v>
      </c>
      <c r="E11" s="16" t="s">
        <v>491</v>
      </c>
      <c r="F11" s="15" t="s">
        <v>27</v>
      </c>
      <c r="G11" s="15" t="s">
        <v>28</v>
      </c>
      <c r="H11" s="16" t="s">
        <v>492</v>
      </c>
      <c r="I11" s="15" t="s">
        <v>30</v>
      </c>
      <c r="J11" s="17" t="s">
        <v>378</v>
      </c>
      <c r="K11" s="18" t="str">
        <f>IF(J11="Won","✔","")</f>
        <v/>
      </c>
      <c r="L11" s="15" t="s">
        <v>119</v>
      </c>
      <c r="M11" s="19">
        <v>100268</v>
      </c>
      <c r="N11" s="15" t="s">
        <v>493</v>
      </c>
      <c r="O11" s="15"/>
      <c r="P11" s="15"/>
      <c r="Q11" s="15" t="s">
        <v>494</v>
      </c>
      <c r="R11" s="15"/>
      <c r="S11" s="17" t="s">
        <v>495</v>
      </c>
      <c r="T11" s="19"/>
      <c r="U11" s="19"/>
      <c r="V11" s="15"/>
      <c r="W11" s="15"/>
    </row>
    <row r="12" spans="1:23" ht="15" customHeight="1" outlineLevel="1">
      <c r="A12" s="4" t="s">
        <v>496</v>
      </c>
      <c r="B12" s="10"/>
      <c r="C12" s="10" t="s">
        <v>241</v>
      </c>
      <c r="D12" s="10" t="s">
        <v>497</v>
      </c>
      <c r="E12" s="11" t="s">
        <v>498</v>
      </c>
      <c r="F12" s="10"/>
      <c r="G12" s="10"/>
      <c r="H12" s="11" t="s">
        <v>499</v>
      </c>
      <c r="I12" s="10" t="s">
        <v>30</v>
      </c>
      <c r="J12" s="12" t="s">
        <v>37</v>
      </c>
      <c r="K12" s="13" t="str">
        <f>IF(J12="Won","✔","")</f>
        <v/>
      </c>
      <c r="L12" s="10" t="s">
        <v>488</v>
      </c>
      <c r="M12" s="14">
        <v>64694.8</v>
      </c>
      <c r="N12" s="10"/>
      <c r="O12" s="10"/>
      <c r="P12" s="10"/>
      <c r="Q12" s="10"/>
      <c r="R12" s="10"/>
      <c r="S12" s="12"/>
      <c r="T12" s="14"/>
      <c r="U12" s="14"/>
      <c r="V12" s="10"/>
      <c r="W12" s="10"/>
    </row>
    <row r="13" spans="1:23" ht="15" customHeight="1" outlineLevel="1">
      <c r="A13" s="4" t="s">
        <v>500</v>
      </c>
      <c r="B13" s="10"/>
      <c r="C13" s="10" t="s">
        <v>108</v>
      </c>
      <c r="D13" s="10" t="s">
        <v>501</v>
      </c>
      <c r="E13" s="11" t="s">
        <v>492</v>
      </c>
      <c r="F13" s="10"/>
      <c r="G13" s="10" t="s">
        <v>35</v>
      </c>
      <c r="H13" s="11" t="s">
        <v>492</v>
      </c>
      <c r="I13" s="10"/>
      <c r="J13" s="12" t="s">
        <v>37</v>
      </c>
      <c r="K13" s="13" t="str">
        <f>IF(J13="Won","✔","")</f>
        <v/>
      </c>
      <c r="L13" s="10" t="s">
        <v>51</v>
      </c>
      <c r="M13" s="14">
        <v>49667</v>
      </c>
      <c r="N13" s="10"/>
      <c r="O13" s="10"/>
      <c r="P13" s="10"/>
      <c r="Q13" s="10"/>
      <c r="R13" s="10"/>
      <c r="S13" s="12"/>
      <c r="T13" s="14"/>
      <c r="U13" s="14"/>
      <c r="V13" s="10"/>
      <c r="W13" s="10"/>
    </row>
    <row r="14" spans="1:23" ht="15" customHeight="1" outlineLevel="1">
      <c r="A14" s="4" t="s">
        <v>502</v>
      </c>
      <c r="B14" s="20"/>
      <c r="C14" s="20" t="s">
        <v>53</v>
      </c>
      <c r="D14" s="20" t="s">
        <v>503</v>
      </c>
      <c r="E14" s="21" t="s">
        <v>504</v>
      </c>
      <c r="F14" s="20" t="s">
        <v>42</v>
      </c>
      <c r="G14" s="20" t="s">
        <v>28</v>
      </c>
      <c r="H14" s="21" t="s">
        <v>504</v>
      </c>
      <c r="I14" s="20" t="s">
        <v>144</v>
      </c>
      <c r="J14" s="22" t="s">
        <v>80</v>
      </c>
      <c r="K14" s="23" t="str">
        <f>IF(J14="Won","✔","")</f>
        <v/>
      </c>
      <c r="L14" s="20" t="s">
        <v>505</v>
      </c>
      <c r="M14" s="24">
        <v>27990</v>
      </c>
      <c r="N14" s="20"/>
      <c r="O14" s="20"/>
      <c r="P14" s="20"/>
      <c r="Q14" s="20"/>
      <c r="R14" s="20"/>
      <c r="S14" s="22"/>
      <c r="T14" s="24"/>
      <c r="U14" s="24"/>
      <c r="V14" s="20"/>
      <c r="W14" s="20"/>
    </row>
    <row r="15" spans="1:23" ht="15" customHeight="1" outlineLevel="1">
      <c r="A15" s="4" t="s">
        <v>506</v>
      </c>
      <c r="B15" s="5"/>
      <c r="C15" s="5" t="s">
        <v>102</v>
      </c>
      <c r="D15" s="5" t="s">
        <v>507</v>
      </c>
      <c r="E15" s="6" t="s">
        <v>499</v>
      </c>
      <c r="F15" s="5" t="s">
        <v>206</v>
      </c>
      <c r="G15" s="5" t="s">
        <v>508</v>
      </c>
      <c r="H15" s="6" t="s">
        <v>499</v>
      </c>
      <c r="I15" s="5" t="s">
        <v>30</v>
      </c>
      <c r="J15" s="7" t="s">
        <v>31</v>
      </c>
      <c r="K15" s="7" t="str">
        <f>IF(J15="Won","✔","")</f>
        <v>✔</v>
      </c>
      <c r="L15" s="5" t="s">
        <v>509</v>
      </c>
      <c r="M15" s="8">
        <v>895</v>
      </c>
      <c r="N15" s="5"/>
      <c r="O15" s="5"/>
      <c r="P15" s="5" t="s">
        <v>510</v>
      </c>
      <c r="Q15" s="5"/>
      <c r="R15" s="5"/>
      <c r="S15" s="9" t="s">
        <v>495</v>
      </c>
      <c r="T15" s="8"/>
      <c r="U15" s="8"/>
      <c r="V15" s="5"/>
      <c r="W15" s="5"/>
    </row>
    <row r="16" spans="1:23" ht="15" customHeight="1" outlineLevel="1">
      <c r="A16" s="4" t="s">
        <v>511</v>
      </c>
      <c r="B16" s="10"/>
      <c r="C16" s="10" t="s">
        <v>512</v>
      </c>
      <c r="D16" s="10" t="s">
        <v>513</v>
      </c>
      <c r="E16" s="11" t="s">
        <v>514</v>
      </c>
      <c r="F16" s="10"/>
      <c r="G16" s="10"/>
      <c r="H16" s="11" t="s">
        <v>514</v>
      </c>
      <c r="I16" s="10"/>
      <c r="J16" s="12" t="s">
        <v>37</v>
      </c>
      <c r="K16" s="13" t="str">
        <f>IF(J16="Won","✔","")</f>
        <v/>
      </c>
      <c r="L16" s="10"/>
      <c r="M16" s="14">
        <v>6724.76</v>
      </c>
      <c r="N16" s="10"/>
      <c r="O16" s="10"/>
      <c r="P16" s="10"/>
      <c r="Q16" s="10"/>
      <c r="R16" s="10"/>
      <c r="S16" s="12"/>
      <c r="T16" s="14"/>
      <c r="U16" s="14"/>
      <c r="V16" s="10"/>
      <c r="W16" s="10"/>
    </row>
    <row r="17" spans="1:23" ht="15" customHeight="1" outlineLevel="1">
      <c r="A17" s="4" t="s">
        <v>515</v>
      </c>
      <c r="B17" s="10"/>
      <c r="C17" s="10" t="s">
        <v>512</v>
      </c>
      <c r="D17" s="10" t="s">
        <v>516</v>
      </c>
      <c r="E17" s="11" t="s">
        <v>514</v>
      </c>
      <c r="F17" s="10"/>
      <c r="G17" s="10"/>
      <c r="H17" s="11" t="s">
        <v>514</v>
      </c>
      <c r="I17" s="10"/>
      <c r="J17" s="12" t="s">
        <v>37</v>
      </c>
      <c r="K17" s="13" t="str">
        <f>IF(J17="Won","✔","")</f>
        <v/>
      </c>
      <c r="L17" s="10"/>
      <c r="M17" s="14">
        <v>496</v>
      </c>
      <c r="N17" s="10"/>
      <c r="O17" s="10"/>
      <c r="P17" s="10"/>
      <c r="Q17" s="10"/>
      <c r="R17" s="10"/>
      <c r="S17" s="12"/>
      <c r="T17" s="14"/>
      <c r="U17" s="14"/>
      <c r="V17" s="10"/>
      <c r="W17" s="10"/>
    </row>
    <row r="18" spans="1:23" ht="15" customHeight="1" outlineLevel="1">
      <c r="A18" s="4" t="s">
        <v>517</v>
      </c>
      <c r="B18" s="10"/>
      <c r="C18" s="10" t="s">
        <v>512</v>
      </c>
      <c r="D18" s="10" t="s">
        <v>518</v>
      </c>
      <c r="E18" s="11" t="s">
        <v>499</v>
      </c>
      <c r="F18" s="10"/>
      <c r="G18" s="10"/>
      <c r="H18" s="11" t="s">
        <v>499</v>
      </c>
      <c r="I18" s="10"/>
      <c r="J18" s="12" t="s">
        <v>37</v>
      </c>
      <c r="K18" s="13" t="str">
        <f>IF(J18="Won","✔","")</f>
        <v/>
      </c>
      <c r="L18" s="10"/>
      <c r="M18" s="14">
        <v>5330</v>
      </c>
      <c r="N18" s="10"/>
      <c r="O18" s="10"/>
      <c r="P18" s="10"/>
      <c r="Q18" s="10"/>
      <c r="R18" s="10"/>
      <c r="S18" s="12"/>
      <c r="T18" s="14"/>
      <c r="U18" s="14"/>
      <c r="V18" s="10"/>
      <c r="W18" s="10"/>
    </row>
    <row r="19" spans="1:23" ht="15" customHeight="1" outlineLevel="1">
      <c r="A19" s="4" t="s">
        <v>519</v>
      </c>
      <c r="B19" s="10"/>
      <c r="C19" s="10" t="s">
        <v>386</v>
      </c>
      <c r="D19" s="10" t="s">
        <v>520</v>
      </c>
      <c r="E19" s="11" t="s">
        <v>521</v>
      </c>
      <c r="F19" s="10"/>
      <c r="G19" s="10"/>
      <c r="H19" s="11" t="s">
        <v>521</v>
      </c>
      <c r="I19" s="10" t="s">
        <v>44</v>
      </c>
      <c r="J19" s="12" t="s">
        <v>37</v>
      </c>
      <c r="K19" s="13" t="str">
        <f>IF(J19="Won","✔","")</f>
        <v/>
      </c>
      <c r="L19" s="10"/>
      <c r="M19" s="14">
        <v>90865</v>
      </c>
      <c r="N19" s="10" t="s">
        <v>522</v>
      </c>
      <c r="O19" s="10"/>
      <c r="P19" s="10"/>
      <c r="Q19" s="10"/>
      <c r="R19" s="10"/>
      <c r="S19" s="12"/>
      <c r="T19" s="14"/>
      <c r="U19" s="14"/>
      <c r="V19" s="10"/>
      <c r="W19" s="10"/>
    </row>
    <row r="20" spans="1:23" ht="15" customHeight="1" outlineLevel="1">
      <c r="A20" s="4" t="s">
        <v>523</v>
      </c>
      <c r="B20" s="10"/>
      <c r="C20" s="10" t="s">
        <v>524</v>
      </c>
      <c r="D20" s="10" t="s">
        <v>525</v>
      </c>
      <c r="E20" s="11" t="s">
        <v>526</v>
      </c>
      <c r="F20" s="10"/>
      <c r="G20" s="10"/>
      <c r="H20" s="11" t="s">
        <v>526</v>
      </c>
      <c r="I20" s="10"/>
      <c r="J20" s="12" t="s">
        <v>37</v>
      </c>
      <c r="K20" s="13" t="str">
        <f>IF(J20="Won","✔","")</f>
        <v/>
      </c>
      <c r="L20" s="10"/>
      <c r="M20" s="14">
        <v>21178</v>
      </c>
      <c r="N20" s="10"/>
      <c r="O20" s="10"/>
      <c r="P20" s="10"/>
      <c r="Q20" s="10"/>
      <c r="R20" s="10"/>
      <c r="S20" s="12"/>
      <c r="T20" s="14"/>
      <c r="U20" s="14"/>
      <c r="V20" s="10"/>
      <c r="W20" s="10"/>
    </row>
    <row r="21" spans="1:23" ht="15" customHeight="1" outlineLevel="1">
      <c r="A21" s="4" t="s">
        <v>527</v>
      </c>
      <c r="B21" s="10"/>
      <c r="C21" s="10" t="s">
        <v>524</v>
      </c>
      <c r="D21" s="10" t="s">
        <v>528</v>
      </c>
      <c r="E21" s="11" t="s">
        <v>526</v>
      </c>
      <c r="F21" s="10" t="s">
        <v>42</v>
      </c>
      <c r="G21" s="10" t="s">
        <v>28</v>
      </c>
      <c r="H21" s="11" t="s">
        <v>529</v>
      </c>
      <c r="I21" s="10"/>
      <c r="J21" s="12" t="s">
        <v>37</v>
      </c>
      <c r="K21" s="13" t="str">
        <f>IF(J21="Won","✔","")</f>
        <v/>
      </c>
      <c r="L21" s="10"/>
      <c r="M21" s="14">
        <v>6886</v>
      </c>
      <c r="N21" s="10"/>
      <c r="O21" s="10"/>
      <c r="P21" s="10"/>
      <c r="Q21" s="10"/>
      <c r="R21" s="10"/>
      <c r="S21" s="12"/>
      <c r="T21" s="14"/>
      <c r="U21" s="14"/>
      <c r="V21" s="10"/>
      <c r="W21" s="10"/>
    </row>
    <row r="22" spans="1:23" ht="15" customHeight="1" outlineLevel="1">
      <c r="A22" s="4" t="s">
        <v>530</v>
      </c>
      <c r="B22" s="10"/>
      <c r="C22" s="10" t="s">
        <v>108</v>
      </c>
      <c r="D22" s="10" t="s">
        <v>531</v>
      </c>
      <c r="E22" s="11" t="s">
        <v>532</v>
      </c>
      <c r="F22" s="10" t="s">
        <v>149</v>
      </c>
      <c r="G22" s="10" t="s">
        <v>35</v>
      </c>
      <c r="H22" s="11" t="s">
        <v>532</v>
      </c>
      <c r="I22" s="10" t="s">
        <v>44</v>
      </c>
      <c r="J22" s="12" t="s">
        <v>37</v>
      </c>
      <c r="K22" s="13" t="str">
        <f>IF(J22="Won","✔","")</f>
        <v/>
      </c>
      <c r="L22" s="10"/>
      <c r="M22" s="14">
        <v>371276</v>
      </c>
      <c r="N22" s="10"/>
      <c r="O22" s="10"/>
      <c r="P22" s="10"/>
      <c r="Q22" s="10"/>
      <c r="R22" s="10"/>
      <c r="S22" s="12"/>
      <c r="T22" s="14"/>
      <c r="U22" s="14"/>
      <c r="V22" s="10"/>
      <c r="W22" s="10"/>
    </row>
    <row r="23" spans="1:23" ht="15" customHeight="1" outlineLevel="1">
      <c r="A23" s="4" t="s">
        <v>533</v>
      </c>
      <c r="B23" s="5"/>
      <c r="C23" s="5" t="s">
        <v>534</v>
      </c>
      <c r="D23" s="5" t="s">
        <v>535</v>
      </c>
      <c r="E23" s="6" t="s">
        <v>536</v>
      </c>
      <c r="F23" s="5" t="s">
        <v>42</v>
      </c>
      <c r="G23" s="5" t="s">
        <v>28</v>
      </c>
      <c r="H23" s="6" t="s">
        <v>536</v>
      </c>
      <c r="I23" s="5" t="s">
        <v>30</v>
      </c>
      <c r="J23" s="7" t="s">
        <v>31</v>
      </c>
      <c r="K23" s="7" t="str">
        <f>IF(J23="Won","✔","")</f>
        <v>✔</v>
      </c>
      <c r="L23" s="5" t="s">
        <v>233</v>
      </c>
      <c r="M23" s="8">
        <v>16486</v>
      </c>
      <c r="N23" s="5"/>
      <c r="O23" s="5"/>
      <c r="P23" s="5" t="s">
        <v>537</v>
      </c>
      <c r="Q23" s="5"/>
      <c r="R23" s="5"/>
      <c r="S23" s="9"/>
      <c r="T23" s="8"/>
      <c r="U23" s="8"/>
      <c r="V23" s="5"/>
      <c r="W23" s="5"/>
    </row>
    <row r="24" spans="1:23" ht="15" customHeight="1" outlineLevel="1">
      <c r="A24" s="4" t="s">
        <v>538</v>
      </c>
      <c r="B24" s="5"/>
      <c r="C24" s="5" t="s">
        <v>105</v>
      </c>
      <c r="D24" s="5" t="s">
        <v>539</v>
      </c>
      <c r="E24" s="6" t="s">
        <v>540</v>
      </c>
      <c r="F24" s="5"/>
      <c r="G24" s="5"/>
      <c r="H24" s="6" t="s">
        <v>540</v>
      </c>
      <c r="I24" s="5"/>
      <c r="J24" s="7" t="s">
        <v>31</v>
      </c>
      <c r="K24" s="7" t="str">
        <f>IF(J24="Won","✔","")</f>
        <v>✔</v>
      </c>
      <c r="L24" s="5"/>
      <c r="M24" s="8">
        <v>5443</v>
      </c>
      <c r="N24" s="5"/>
      <c r="O24" s="5"/>
      <c r="P24" s="5"/>
      <c r="Q24" s="5"/>
      <c r="R24" s="5"/>
      <c r="S24" s="9" t="s">
        <v>495</v>
      </c>
      <c r="T24" s="8"/>
      <c r="U24" s="8"/>
      <c r="V24" s="5"/>
      <c r="W24" s="5"/>
    </row>
    <row r="25" spans="1:23" ht="15" customHeight="1" outlineLevel="1">
      <c r="A25" s="4" t="s">
        <v>541</v>
      </c>
      <c r="B25" s="10"/>
      <c r="C25" s="10" t="s">
        <v>108</v>
      </c>
      <c r="D25" s="10" t="s">
        <v>542</v>
      </c>
      <c r="E25" s="11" t="s">
        <v>543</v>
      </c>
      <c r="F25" s="10" t="s">
        <v>118</v>
      </c>
      <c r="G25" s="10" t="s">
        <v>35</v>
      </c>
      <c r="H25" s="11" t="s">
        <v>543</v>
      </c>
      <c r="I25" s="10"/>
      <c r="J25" s="12"/>
      <c r="K25" s="13" t="str">
        <f>IF(J25="Won","✔","")</f>
        <v/>
      </c>
      <c r="L25" s="10"/>
      <c r="M25" s="14">
        <v>54168</v>
      </c>
      <c r="N25" s="10"/>
      <c r="O25" s="10"/>
      <c r="P25" s="10"/>
      <c r="Q25" s="10"/>
      <c r="R25" s="10"/>
      <c r="S25" s="12"/>
      <c r="T25" s="14"/>
      <c r="U25" s="14"/>
      <c r="V25" s="10"/>
      <c r="W25" s="10"/>
    </row>
    <row r="26" spans="1:23" ht="15" customHeight="1" outlineLevel="1">
      <c r="A26" s="4" t="s">
        <v>544</v>
      </c>
      <c r="B26" s="5"/>
      <c r="C26" s="5" t="s">
        <v>108</v>
      </c>
      <c r="D26" s="5" t="s">
        <v>545</v>
      </c>
      <c r="E26" s="6" t="s">
        <v>546</v>
      </c>
      <c r="F26" s="5" t="s">
        <v>42</v>
      </c>
      <c r="G26" s="5" t="s">
        <v>28</v>
      </c>
      <c r="H26" s="6" t="s">
        <v>547</v>
      </c>
      <c r="I26" s="5" t="s">
        <v>30</v>
      </c>
      <c r="J26" s="7" t="s">
        <v>31</v>
      </c>
      <c r="K26" s="7" t="str">
        <f>IF(J26="Won","✔","")</f>
        <v>✔</v>
      </c>
      <c r="L26" s="5" t="s">
        <v>233</v>
      </c>
      <c r="M26" s="8">
        <v>11862</v>
      </c>
      <c r="N26" s="5"/>
      <c r="O26" s="5"/>
      <c r="P26" s="5"/>
      <c r="Q26" s="5"/>
      <c r="R26" s="5"/>
      <c r="S26" s="9" t="s">
        <v>495</v>
      </c>
      <c r="T26" s="8"/>
      <c r="U26" s="8"/>
      <c r="V26" s="5"/>
      <c r="W26" s="5"/>
    </row>
    <row r="27" spans="1:23" ht="15" customHeight="1" outlineLevel="1">
      <c r="A27" s="4" t="s">
        <v>548</v>
      </c>
      <c r="B27" s="10"/>
      <c r="C27" s="10" t="s">
        <v>512</v>
      </c>
      <c r="D27" s="10" t="s">
        <v>549</v>
      </c>
      <c r="E27" s="11" t="s">
        <v>550</v>
      </c>
      <c r="F27" s="10" t="s">
        <v>118</v>
      </c>
      <c r="G27" s="10" t="s">
        <v>35</v>
      </c>
      <c r="H27" s="11" t="s">
        <v>550</v>
      </c>
      <c r="I27" s="10"/>
      <c r="J27" s="12"/>
      <c r="K27" s="13" t="str">
        <f>IF(J27="Won","✔","")</f>
        <v/>
      </c>
      <c r="L27" s="10"/>
      <c r="M27" s="14">
        <v>37713</v>
      </c>
      <c r="N27" s="10"/>
      <c r="O27" s="10"/>
      <c r="P27" s="10"/>
      <c r="Q27" s="10"/>
      <c r="R27" s="10"/>
      <c r="S27" s="12"/>
      <c r="T27" s="14"/>
      <c r="U27" s="14"/>
      <c r="V27" s="10"/>
      <c r="W27" s="10"/>
    </row>
    <row r="28" spans="1:23" ht="15" customHeight="1" outlineLevel="1">
      <c r="A28" s="4" t="s">
        <v>551</v>
      </c>
      <c r="B28" s="10"/>
      <c r="C28" s="10" t="s">
        <v>53</v>
      </c>
      <c r="D28" s="10" t="s">
        <v>405</v>
      </c>
      <c r="E28" s="11" t="s">
        <v>543</v>
      </c>
      <c r="F28" s="10"/>
      <c r="G28" s="10"/>
      <c r="H28" s="11" t="s">
        <v>543</v>
      </c>
      <c r="I28" s="10"/>
      <c r="J28" s="12"/>
      <c r="K28" s="13" t="str">
        <f>IF(J28="Won","✔","")</f>
        <v/>
      </c>
      <c r="L28" s="10"/>
      <c r="M28" s="14">
        <v>59333</v>
      </c>
      <c r="N28" s="10"/>
      <c r="O28" s="10"/>
      <c r="P28" s="10"/>
      <c r="Q28" s="10"/>
      <c r="R28" s="10"/>
      <c r="S28" s="12"/>
      <c r="T28" s="14"/>
      <c r="U28" s="14"/>
      <c r="V28" s="10"/>
      <c r="W28" s="10"/>
    </row>
    <row r="29" spans="1:23" ht="15" customHeight="1">
      <c r="A29" s="2"/>
      <c r="B29" s="3" t="s">
        <v>460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" customHeight="1" outlineLevel="1">
      <c r="A30" s="4" t="s">
        <v>552</v>
      </c>
      <c r="B30" s="15" t="s">
        <v>521</v>
      </c>
      <c r="C30" s="15" t="s">
        <v>553</v>
      </c>
      <c r="D30" s="15" t="s">
        <v>554</v>
      </c>
      <c r="E30" s="16" t="s">
        <v>555</v>
      </c>
      <c r="F30" s="15" t="s">
        <v>42</v>
      </c>
      <c r="G30" s="15" t="s">
        <v>28</v>
      </c>
      <c r="H30" s="16" t="s">
        <v>556</v>
      </c>
      <c r="I30" s="15" t="s">
        <v>30</v>
      </c>
      <c r="J30" s="17" t="s">
        <v>145</v>
      </c>
      <c r="K30" s="18" t="str">
        <f>IF(J30="Won","✔","")</f>
        <v/>
      </c>
      <c r="L30" s="15" t="s">
        <v>168</v>
      </c>
      <c r="M30" s="19">
        <v>1180</v>
      </c>
      <c r="N30" s="15"/>
      <c r="O30" s="15"/>
      <c r="P30" s="15"/>
      <c r="Q30" s="15"/>
      <c r="R30" s="15"/>
      <c r="S30" s="17"/>
      <c r="T30" s="19"/>
      <c r="U30" s="19"/>
      <c r="V30" s="15"/>
      <c r="W30" s="15"/>
    </row>
    <row r="31" spans="1:23" ht="15" customHeight="1" outlineLevel="1">
      <c r="A31" s="4" t="s">
        <v>557</v>
      </c>
      <c r="B31" s="10" t="s">
        <v>556</v>
      </c>
      <c r="C31" s="10" t="s">
        <v>558</v>
      </c>
      <c r="D31" s="10" t="s">
        <v>559</v>
      </c>
      <c r="E31" s="11" t="s">
        <v>556</v>
      </c>
      <c r="F31" s="10" t="s">
        <v>42</v>
      </c>
      <c r="G31" s="10" t="s">
        <v>28</v>
      </c>
      <c r="H31" s="11" t="s">
        <v>560</v>
      </c>
      <c r="I31" s="10" t="s">
        <v>30</v>
      </c>
      <c r="J31" s="12" t="s">
        <v>37</v>
      </c>
      <c r="K31" s="13" t="str">
        <f>IF(J31="Won","✔","")</f>
        <v/>
      </c>
      <c r="L31" s="10" t="s">
        <v>119</v>
      </c>
      <c r="M31" s="14">
        <v>1671</v>
      </c>
      <c r="N31" s="10"/>
      <c r="O31" s="10"/>
      <c r="P31" s="10"/>
      <c r="Q31" s="10"/>
      <c r="R31" s="10"/>
      <c r="S31" s="12"/>
      <c r="T31" s="14"/>
      <c r="U31" s="14"/>
      <c r="V31" s="10"/>
      <c r="W31" s="10"/>
    </row>
    <row r="32" spans="1:23" ht="15" customHeight="1" outlineLevel="1">
      <c r="A32" s="4" t="s">
        <v>561</v>
      </c>
      <c r="B32" s="10" t="s">
        <v>562</v>
      </c>
      <c r="C32" s="10" t="s">
        <v>376</v>
      </c>
      <c r="D32" s="10" t="s">
        <v>563</v>
      </c>
      <c r="E32" s="11" t="s">
        <v>560</v>
      </c>
      <c r="F32" s="10" t="s">
        <v>42</v>
      </c>
      <c r="G32" s="10" t="s">
        <v>28</v>
      </c>
      <c r="H32" s="11" t="s">
        <v>564</v>
      </c>
      <c r="I32" s="10" t="s">
        <v>565</v>
      </c>
      <c r="J32" s="12" t="s">
        <v>37</v>
      </c>
      <c r="K32" s="13" t="str">
        <f>IF(J32="Won","✔","")</f>
        <v/>
      </c>
      <c r="L32" s="10" t="s">
        <v>92</v>
      </c>
      <c r="M32" s="14">
        <v>14205</v>
      </c>
      <c r="N32" s="10"/>
      <c r="O32" s="10"/>
      <c r="P32" s="10"/>
      <c r="Q32" s="10"/>
      <c r="R32" s="10"/>
      <c r="S32" s="12"/>
      <c r="T32" s="14"/>
      <c r="U32" s="14"/>
      <c r="V32" s="10"/>
      <c r="W32" s="10"/>
    </row>
    <row r="33" spans="1:23" ht="15" customHeight="1" outlineLevel="1">
      <c r="A33" s="4" t="s">
        <v>566</v>
      </c>
      <c r="B33" s="10" t="s">
        <v>567</v>
      </c>
      <c r="C33" s="10" t="s">
        <v>568</v>
      </c>
      <c r="D33" s="10" t="s">
        <v>569</v>
      </c>
      <c r="E33" s="11" t="s">
        <v>560</v>
      </c>
      <c r="F33" s="10" t="s">
        <v>42</v>
      </c>
      <c r="G33" s="10" t="s">
        <v>28</v>
      </c>
      <c r="H33" s="11" t="s">
        <v>570</v>
      </c>
      <c r="I33" s="10" t="s">
        <v>30</v>
      </c>
      <c r="J33" s="12" t="s">
        <v>37</v>
      </c>
      <c r="K33" s="13" t="str">
        <f>IF(J33="Won","✔","")</f>
        <v/>
      </c>
      <c r="L33" s="10" t="s">
        <v>92</v>
      </c>
      <c r="M33" s="14">
        <v>15928</v>
      </c>
      <c r="N33" s="10"/>
      <c r="O33" s="10"/>
      <c r="P33" s="10"/>
      <c r="Q33" s="10"/>
      <c r="R33" s="10" t="s">
        <v>571</v>
      </c>
      <c r="S33" s="12"/>
      <c r="T33" s="14"/>
      <c r="U33" s="14"/>
      <c r="V33" s="10"/>
      <c r="W33" s="10"/>
    </row>
    <row r="34" spans="1:23" ht="15" customHeight="1" outlineLevel="1">
      <c r="A34" s="4" t="s">
        <v>572</v>
      </c>
      <c r="B34" s="10" t="s">
        <v>567</v>
      </c>
      <c r="C34" s="10" t="s">
        <v>568</v>
      </c>
      <c r="D34" s="10" t="s">
        <v>573</v>
      </c>
      <c r="E34" s="11" t="s">
        <v>560</v>
      </c>
      <c r="F34" s="10" t="s">
        <v>42</v>
      </c>
      <c r="G34" s="10" t="s">
        <v>28</v>
      </c>
      <c r="H34" s="11" t="s">
        <v>574</v>
      </c>
      <c r="I34" s="10" t="s">
        <v>30</v>
      </c>
      <c r="J34" s="12" t="s">
        <v>37</v>
      </c>
      <c r="K34" s="13" t="str">
        <f>IF(J34="Won","✔","")</f>
        <v/>
      </c>
      <c r="L34" s="10" t="s">
        <v>92</v>
      </c>
      <c r="M34" s="14">
        <v>11663</v>
      </c>
      <c r="N34" s="10"/>
      <c r="O34" s="10"/>
      <c r="P34" s="10"/>
      <c r="Q34" s="10"/>
      <c r="R34" s="10" t="s">
        <v>571</v>
      </c>
      <c r="S34" s="12"/>
      <c r="T34" s="14"/>
      <c r="U34" s="14"/>
      <c r="V34" s="10"/>
      <c r="W34" s="10"/>
    </row>
    <row r="35" spans="1:23" ht="15" customHeight="1" outlineLevel="1">
      <c r="A35" s="4" t="s">
        <v>575</v>
      </c>
      <c r="B35" s="10" t="s">
        <v>567</v>
      </c>
      <c r="C35" s="10" t="s">
        <v>129</v>
      </c>
      <c r="D35" s="10" t="s">
        <v>576</v>
      </c>
      <c r="E35" s="11" t="s">
        <v>560</v>
      </c>
      <c r="F35" s="10" t="s">
        <v>42</v>
      </c>
      <c r="G35" s="10" t="s">
        <v>28</v>
      </c>
      <c r="H35" s="11" t="s">
        <v>577</v>
      </c>
      <c r="I35" s="10" t="s">
        <v>30</v>
      </c>
      <c r="J35" s="12" t="s">
        <v>37</v>
      </c>
      <c r="K35" s="13" t="str">
        <f>IF(J35="Won","✔","")</f>
        <v/>
      </c>
      <c r="L35" s="10" t="s">
        <v>168</v>
      </c>
      <c r="M35" s="14">
        <v>7898</v>
      </c>
      <c r="N35" s="10"/>
      <c r="O35" s="10"/>
      <c r="P35" s="10"/>
      <c r="Q35" s="10"/>
      <c r="R35" s="10"/>
      <c r="S35" s="12"/>
      <c r="T35" s="14"/>
      <c r="U35" s="14"/>
      <c r="V35" s="10"/>
      <c r="W35" s="10"/>
    </row>
    <row r="36" spans="1:23" ht="15" customHeight="1" outlineLevel="1">
      <c r="A36" s="4" t="s">
        <v>578</v>
      </c>
      <c r="B36" s="10" t="s">
        <v>579</v>
      </c>
      <c r="C36" s="10" t="s">
        <v>580</v>
      </c>
      <c r="D36" s="10" t="s">
        <v>581</v>
      </c>
      <c r="E36" s="11" t="s">
        <v>579</v>
      </c>
      <c r="F36" s="10" t="s">
        <v>30</v>
      </c>
      <c r="G36" s="10" t="s">
        <v>28</v>
      </c>
      <c r="H36" s="11" t="s">
        <v>579</v>
      </c>
      <c r="I36" s="10" t="s">
        <v>30</v>
      </c>
      <c r="J36" s="12" t="s">
        <v>37</v>
      </c>
      <c r="K36" s="13" t="str">
        <f>IF(J36="Won","✔","")</f>
        <v/>
      </c>
      <c r="L36" s="10" t="s">
        <v>45</v>
      </c>
      <c r="M36" s="14">
        <v>721.45</v>
      </c>
      <c r="N36" s="10"/>
      <c r="O36" s="10"/>
      <c r="P36" s="10"/>
      <c r="Q36" s="10"/>
      <c r="R36" s="10"/>
      <c r="S36" s="12"/>
      <c r="T36" s="14"/>
      <c r="U36" s="14"/>
      <c r="V36" s="10"/>
      <c r="W36" s="10"/>
    </row>
    <row r="37" spans="1:23" ht="15" customHeight="1" outlineLevel="1">
      <c r="A37" s="4" t="s">
        <v>582</v>
      </c>
      <c r="B37" s="10" t="s">
        <v>583</v>
      </c>
      <c r="C37" s="10" t="s">
        <v>108</v>
      </c>
      <c r="D37" s="10" t="s">
        <v>584</v>
      </c>
      <c r="E37" s="11" t="s">
        <v>579</v>
      </c>
      <c r="F37" s="10" t="s">
        <v>27</v>
      </c>
      <c r="G37" s="10" t="s">
        <v>585</v>
      </c>
      <c r="H37" s="11" t="s">
        <v>586</v>
      </c>
      <c r="I37" s="10" t="s">
        <v>30</v>
      </c>
      <c r="J37" s="12" t="s">
        <v>37</v>
      </c>
      <c r="K37" s="13" t="str">
        <f>IF(J37="Won","✔","")</f>
        <v/>
      </c>
      <c r="L37" s="10" t="s">
        <v>587</v>
      </c>
      <c r="M37" s="14">
        <v>7861</v>
      </c>
      <c r="N37" s="10" t="s">
        <v>588</v>
      </c>
      <c r="O37" s="10"/>
      <c r="P37" s="10"/>
      <c r="Q37" s="10" t="s">
        <v>589</v>
      </c>
      <c r="R37" s="10"/>
      <c r="S37" s="12"/>
      <c r="T37" s="14"/>
      <c r="U37" s="14"/>
      <c r="V37" s="10"/>
      <c r="W37" s="10"/>
    </row>
    <row r="38" spans="1:23" ht="15" customHeight="1" outlineLevel="1">
      <c r="A38" s="4" t="s">
        <v>590</v>
      </c>
      <c r="B38" s="5" t="s">
        <v>586</v>
      </c>
      <c r="C38" s="5" t="s">
        <v>53</v>
      </c>
      <c r="D38" s="5" t="s">
        <v>591</v>
      </c>
      <c r="E38" s="6" t="s">
        <v>592</v>
      </c>
      <c r="F38" s="5" t="s">
        <v>42</v>
      </c>
      <c r="G38" s="5" t="s">
        <v>28</v>
      </c>
      <c r="H38" s="6" t="s">
        <v>593</v>
      </c>
      <c r="I38" s="5" t="s">
        <v>144</v>
      </c>
      <c r="J38" s="7" t="s">
        <v>31</v>
      </c>
      <c r="K38" s="7" t="str">
        <f>IF(J38="Won","✔","")</f>
        <v>✔</v>
      </c>
      <c r="L38" s="5" t="s">
        <v>413</v>
      </c>
      <c r="M38" s="8">
        <v>1696</v>
      </c>
      <c r="N38" s="5"/>
      <c r="O38" s="5"/>
      <c r="P38" s="5"/>
      <c r="Q38" s="5"/>
      <c r="R38" s="5"/>
      <c r="S38" s="9" t="s">
        <v>495</v>
      </c>
      <c r="T38" s="8"/>
      <c r="U38" s="8"/>
      <c r="V38" s="5"/>
      <c r="W38" s="5"/>
    </row>
    <row r="39" spans="1:23" ht="15" customHeight="1" outlineLevel="1">
      <c r="A39" s="4" t="s">
        <v>594</v>
      </c>
      <c r="B39" s="10" t="s">
        <v>592</v>
      </c>
      <c r="C39" s="10" t="s">
        <v>53</v>
      </c>
      <c r="D39" s="10" t="s">
        <v>595</v>
      </c>
      <c r="E39" s="11" t="s">
        <v>592</v>
      </c>
      <c r="F39" s="10" t="s">
        <v>30</v>
      </c>
      <c r="G39" s="10" t="s">
        <v>596</v>
      </c>
      <c r="H39" s="11" t="s">
        <v>592</v>
      </c>
      <c r="I39" s="10" t="s">
        <v>30</v>
      </c>
      <c r="J39" s="12" t="s">
        <v>37</v>
      </c>
      <c r="K39" s="13" t="str">
        <f>IF(J39="Won","✔","")</f>
        <v/>
      </c>
      <c r="L39" s="10" t="s">
        <v>51</v>
      </c>
      <c r="M39" s="14">
        <v>77128</v>
      </c>
      <c r="N39" s="10" t="s">
        <v>597</v>
      </c>
      <c r="O39" s="10"/>
      <c r="P39" s="10"/>
      <c r="Q39" s="10"/>
      <c r="R39" s="10"/>
      <c r="S39" s="12"/>
      <c r="T39" s="14"/>
      <c r="U39" s="14"/>
      <c r="V39" s="10"/>
      <c r="W39" s="10"/>
    </row>
    <row r="40" spans="1:23" ht="15" customHeight="1" outlineLevel="1">
      <c r="A40" s="4" t="s">
        <v>598</v>
      </c>
      <c r="B40" s="10" t="s">
        <v>583</v>
      </c>
      <c r="C40" s="10" t="s">
        <v>599</v>
      </c>
      <c r="D40" s="10" t="s">
        <v>600</v>
      </c>
      <c r="E40" s="11" t="s">
        <v>601</v>
      </c>
      <c r="F40" s="10" t="s">
        <v>149</v>
      </c>
      <c r="G40" s="10" t="s">
        <v>28</v>
      </c>
      <c r="H40" s="11" t="s">
        <v>592</v>
      </c>
      <c r="I40" s="10" t="s">
        <v>44</v>
      </c>
      <c r="J40" s="12" t="s">
        <v>37</v>
      </c>
      <c r="K40" s="13" t="str">
        <f>IF(J40="Won","✔","")</f>
        <v/>
      </c>
      <c r="L40" s="10" t="s">
        <v>139</v>
      </c>
      <c r="M40" s="14">
        <v>29897</v>
      </c>
      <c r="N40" s="10" t="s">
        <v>602</v>
      </c>
      <c r="O40" s="10"/>
      <c r="P40" s="10"/>
      <c r="Q40" s="10"/>
      <c r="R40" s="10"/>
      <c r="S40" s="12"/>
      <c r="T40" s="14"/>
      <c r="U40" s="14"/>
      <c r="V40" s="10"/>
      <c r="W40" s="10"/>
    </row>
    <row r="41" spans="1:23" ht="15" customHeight="1" outlineLevel="1">
      <c r="A41" s="4" t="s">
        <v>603</v>
      </c>
      <c r="B41" s="10" t="s">
        <v>564</v>
      </c>
      <c r="C41" s="10" t="s">
        <v>604</v>
      </c>
      <c r="D41" s="10" t="s">
        <v>605</v>
      </c>
      <c r="E41" s="11" t="s">
        <v>601</v>
      </c>
      <c r="F41" s="10" t="s">
        <v>118</v>
      </c>
      <c r="G41" s="10" t="s">
        <v>35</v>
      </c>
      <c r="H41" s="11" t="s">
        <v>593</v>
      </c>
      <c r="I41" s="10" t="s">
        <v>44</v>
      </c>
      <c r="J41" s="12" t="s">
        <v>37</v>
      </c>
      <c r="K41" s="13" t="str">
        <f>IF(J41="Won","✔","")</f>
        <v/>
      </c>
      <c r="L41" s="10" t="s">
        <v>51</v>
      </c>
      <c r="M41" s="14">
        <v>105251.5</v>
      </c>
      <c r="N41" s="10" t="s">
        <v>606</v>
      </c>
      <c r="O41" s="10"/>
      <c r="P41" s="10"/>
      <c r="Q41" s="10"/>
      <c r="R41" s="10"/>
      <c r="S41" s="12"/>
      <c r="T41" s="14"/>
      <c r="U41" s="14"/>
      <c r="V41" s="10"/>
      <c r="W41" s="10"/>
    </row>
    <row r="42" spans="1:23" ht="15" customHeight="1" outlineLevel="1">
      <c r="A42" s="4" t="s">
        <v>607</v>
      </c>
      <c r="B42" s="10" t="s">
        <v>560</v>
      </c>
      <c r="C42" s="10" t="s">
        <v>608</v>
      </c>
      <c r="D42" s="10" t="s">
        <v>609</v>
      </c>
      <c r="E42" s="11" t="s">
        <v>601</v>
      </c>
      <c r="F42" s="10" t="s">
        <v>42</v>
      </c>
      <c r="G42" s="10" t="s">
        <v>28</v>
      </c>
      <c r="H42" s="11" t="s">
        <v>593</v>
      </c>
      <c r="I42" s="10" t="s">
        <v>44</v>
      </c>
      <c r="J42" s="12" t="s">
        <v>37</v>
      </c>
      <c r="K42" s="13" t="str">
        <f>IF(J42="Won","✔","")</f>
        <v/>
      </c>
      <c r="L42" s="10" t="s">
        <v>92</v>
      </c>
      <c r="M42" s="14">
        <v>77216</v>
      </c>
      <c r="N42" s="10" t="s">
        <v>610</v>
      </c>
      <c r="O42" s="10"/>
      <c r="P42" s="10"/>
      <c r="Q42" s="10"/>
      <c r="R42" s="10"/>
      <c r="S42" s="12"/>
      <c r="T42" s="14"/>
      <c r="U42" s="14"/>
      <c r="V42" s="10"/>
      <c r="W42" s="10"/>
    </row>
    <row r="43" spans="1:23" ht="15" customHeight="1" outlineLevel="1">
      <c r="A43" s="4" t="s">
        <v>611</v>
      </c>
      <c r="B43" s="5" t="s">
        <v>586</v>
      </c>
      <c r="C43" s="5" t="s">
        <v>612</v>
      </c>
      <c r="D43" s="5" t="s">
        <v>613</v>
      </c>
      <c r="E43" s="6" t="s">
        <v>601</v>
      </c>
      <c r="F43" s="5" t="s">
        <v>206</v>
      </c>
      <c r="G43" s="5" t="s">
        <v>28</v>
      </c>
      <c r="H43" s="6" t="s">
        <v>601</v>
      </c>
      <c r="I43" s="5" t="s">
        <v>30</v>
      </c>
      <c r="J43" s="7" t="s">
        <v>31</v>
      </c>
      <c r="K43" s="7" t="str">
        <f>IF(J43="Won","✔","")</f>
        <v>✔</v>
      </c>
      <c r="L43" s="5" t="s">
        <v>614</v>
      </c>
      <c r="M43" s="8">
        <v>119319</v>
      </c>
      <c r="N43" s="5" t="s">
        <v>615</v>
      </c>
      <c r="O43" s="5"/>
      <c r="P43" s="5"/>
      <c r="Q43" s="5" t="s">
        <v>616</v>
      </c>
      <c r="R43" s="5"/>
      <c r="S43" s="9" t="s">
        <v>495</v>
      </c>
      <c r="T43" s="8"/>
      <c r="U43" s="8"/>
      <c r="V43" s="5"/>
      <c r="W43" s="5"/>
    </row>
    <row r="44" spans="1:23" ht="15" customHeight="1" outlineLevel="1">
      <c r="A44" s="4" t="s">
        <v>617</v>
      </c>
      <c r="B44" s="15" t="s">
        <v>583</v>
      </c>
      <c r="C44" s="15" t="s">
        <v>263</v>
      </c>
      <c r="D44" s="15" t="s">
        <v>618</v>
      </c>
      <c r="E44" s="16" t="s">
        <v>601</v>
      </c>
      <c r="F44" s="15" t="s">
        <v>42</v>
      </c>
      <c r="G44" s="15" t="s">
        <v>308</v>
      </c>
      <c r="H44" s="16"/>
      <c r="I44" s="15"/>
      <c r="J44" s="17" t="s">
        <v>378</v>
      </c>
      <c r="K44" s="18" t="str">
        <f>IF(J44="Won","✔","")</f>
        <v/>
      </c>
      <c r="L44" s="15" t="s">
        <v>119</v>
      </c>
      <c r="M44" s="19"/>
      <c r="N44" s="15" t="s">
        <v>522</v>
      </c>
      <c r="O44" s="15"/>
      <c r="P44" s="15"/>
      <c r="Q44" s="15"/>
      <c r="R44" s="15"/>
      <c r="S44" s="17"/>
      <c r="T44" s="19"/>
      <c r="U44" s="19"/>
      <c r="V44" s="15"/>
      <c r="W44" s="15"/>
    </row>
    <row r="45" spans="1:23" ht="15" customHeight="1" outlineLevel="1">
      <c r="A45" s="4" t="s">
        <v>619</v>
      </c>
      <c r="B45" s="10" t="s">
        <v>564</v>
      </c>
      <c r="C45" s="10" t="s">
        <v>620</v>
      </c>
      <c r="D45" s="10" t="s">
        <v>621</v>
      </c>
      <c r="E45" s="11" t="s">
        <v>622</v>
      </c>
      <c r="F45" s="10" t="s">
        <v>42</v>
      </c>
      <c r="G45" s="10" t="s">
        <v>585</v>
      </c>
      <c r="H45" s="11"/>
      <c r="I45" s="10"/>
      <c r="J45" s="12"/>
      <c r="K45" s="13" t="str">
        <f>IF(J45="Won","✔","")</f>
        <v/>
      </c>
      <c r="L45" s="10"/>
      <c r="M45" s="14"/>
      <c r="N45" s="10"/>
      <c r="O45" s="10"/>
      <c r="P45" s="10"/>
      <c r="Q45" s="10"/>
      <c r="R45" s="10"/>
      <c r="S45" s="12"/>
      <c r="T45" s="14"/>
      <c r="U45" s="14"/>
      <c r="V45" s="10"/>
      <c r="W45" s="10"/>
    </row>
    <row r="46" spans="1:23" ht="15" customHeight="1" outlineLevel="1">
      <c r="A46" s="4" t="s">
        <v>623</v>
      </c>
      <c r="B46" s="15" t="s">
        <v>579</v>
      </c>
      <c r="C46" s="15" t="s">
        <v>608</v>
      </c>
      <c r="D46" s="15" t="s">
        <v>624</v>
      </c>
      <c r="E46" s="16" t="s">
        <v>625</v>
      </c>
      <c r="F46" s="15" t="s">
        <v>42</v>
      </c>
      <c r="G46" s="15" t="s">
        <v>28</v>
      </c>
      <c r="H46" s="16" t="s">
        <v>625</v>
      </c>
      <c r="I46" s="15" t="s">
        <v>44</v>
      </c>
      <c r="J46" s="17" t="s">
        <v>145</v>
      </c>
      <c r="K46" s="18" t="str">
        <f>IF(J46="Won","✔","")</f>
        <v/>
      </c>
      <c r="L46" s="15" t="s">
        <v>139</v>
      </c>
      <c r="M46" s="19">
        <v>16950</v>
      </c>
      <c r="N46" s="15" t="s">
        <v>626</v>
      </c>
      <c r="O46" s="15"/>
      <c r="P46" s="15"/>
      <c r="Q46" s="15"/>
      <c r="R46" s="15"/>
      <c r="S46" s="17"/>
      <c r="T46" s="19"/>
      <c r="U46" s="19"/>
      <c r="V46" s="15"/>
      <c r="W46" s="15"/>
    </row>
    <row r="47" spans="1:23" ht="15" customHeight="1" outlineLevel="1">
      <c r="A47" s="4" t="s">
        <v>627</v>
      </c>
      <c r="B47" s="10" t="s">
        <v>564</v>
      </c>
      <c r="C47" s="10" t="s">
        <v>553</v>
      </c>
      <c r="D47" s="10" t="s">
        <v>628</v>
      </c>
      <c r="E47" s="11" t="s">
        <v>629</v>
      </c>
      <c r="F47" s="10" t="s">
        <v>42</v>
      </c>
      <c r="G47" s="10" t="s">
        <v>28</v>
      </c>
      <c r="H47" s="11" t="s">
        <v>629</v>
      </c>
      <c r="I47" s="10" t="s">
        <v>30</v>
      </c>
      <c r="J47" s="12" t="s">
        <v>37</v>
      </c>
      <c r="K47" s="13" t="str">
        <f>IF(J47="Won","✔","")</f>
        <v/>
      </c>
      <c r="L47" s="10" t="s">
        <v>168</v>
      </c>
      <c r="M47" s="14">
        <v>9482</v>
      </c>
      <c r="N47" s="10" t="s">
        <v>630</v>
      </c>
      <c r="O47" s="10"/>
      <c r="P47" s="10"/>
      <c r="Q47" s="10"/>
      <c r="R47" s="10"/>
      <c r="S47" s="12"/>
      <c r="T47" s="14"/>
      <c r="U47" s="14"/>
      <c r="V47" s="10"/>
      <c r="W47" s="10"/>
    </row>
    <row r="48" spans="1:23" ht="15" customHeight="1" outlineLevel="1">
      <c r="A48" s="4" t="s">
        <v>631</v>
      </c>
      <c r="B48" s="10" t="s">
        <v>564</v>
      </c>
      <c r="C48" s="10" t="s">
        <v>553</v>
      </c>
      <c r="D48" s="10" t="s">
        <v>632</v>
      </c>
      <c r="E48" s="11" t="s">
        <v>629</v>
      </c>
      <c r="F48" s="10" t="s">
        <v>42</v>
      </c>
      <c r="G48" s="10" t="s">
        <v>28</v>
      </c>
      <c r="H48" s="11" t="s">
        <v>633</v>
      </c>
      <c r="I48" s="10" t="s">
        <v>30</v>
      </c>
      <c r="J48" s="12" t="s">
        <v>37</v>
      </c>
      <c r="K48" s="13" t="str">
        <f>IF(J48="Won","✔","")</f>
        <v/>
      </c>
      <c r="L48" s="10" t="s">
        <v>168</v>
      </c>
      <c r="M48" s="14">
        <v>4029</v>
      </c>
      <c r="N48" s="10" t="s">
        <v>630</v>
      </c>
      <c r="O48" s="10"/>
      <c r="P48" s="10"/>
      <c r="Q48" s="10"/>
      <c r="R48" s="10"/>
      <c r="S48" s="12"/>
      <c r="T48" s="14"/>
      <c r="U48" s="14"/>
      <c r="V48" s="10"/>
      <c r="W48" s="10"/>
    </row>
    <row r="49" spans="1:23" ht="15" customHeight="1" outlineLevel="1">
      <c r="A49" s="4" t="s">
        <v>634</v>
      </c>
      <c r="B49" s="10" t="s">
        <v>564</v>
      </c>
      <c r="C49" s="10" t="s">
        <v>553</v>
      </c>
      <c r="D49" s="10" t="s">
        <v>635</v>
      </c>
      <c r="E49" s="11" t="s">
        <v>629</v>
      </c>
      <c r="F49" s="10" t="s">
        <v>42</v>
      </c>
      <c r="G49" s="10" t="s">
        <v>28</v>
      </c>
      <c r="H49" s="11" t="s">
        <v>636</v>
      </c>
      <c r="I49" s="10" t="s">
        <v>30</v>
      </c>
      <c r="J49" s="12" t="s">
        <v>37</v>
      </c>
      <c r="K49" s="13" t="str">
        <f>IF(J49="Won","✔","")</f>
        <v/>
      </c>
      <c r="L49" s="10" t="s">
        <v>168</v>
      </c>
      <c r="M49" s="14">
        <v>9482</v>
      </c>
      <c r="N49" s="10" t="s">
        <v>630</v>
      </c>
      <c r="O49" s="10"/>
      <c r="P49" s="10"/>
      <c r="Q49" s="10"/>
      <c r="R49" s="10"/>
      <c r="S49" s="12"/>
      <c r="T49" s="14"/>
      <c r="U49" s="14"/>
      <c r="V49" s="10"/>
      <c r="W49" s="10"/>
    </row>
    <row r="50" spans="1:23" ht="15" customHeight="1" outlineLevel="1">
      <c r="A50" s="4" t="s">
        <v>637</v>
      </c>
      <c r="B50" s="10" t="s">
        <v>601</v>
      </c>
      <c r="C50" s="10" t="s">
        <v>638</v>
      </c>
      <c r="D50" s="10" t="s">
        <v>520</v>
      </c>
      <c r="E50" s="11" t="s">
        <v>633</v>
      </c>
      <c r="F50" s="10" t="s">
        <v>42</v>
      </c>
      <c r="G50" s="10" t="s">
        <v>28</v>
      </c>
      <c r="H50" s="11" t="s">
        <v>633</v>
      </c>
      <c r="I50" s="10" t="s">
        <v>30</v>
      </c>
      <c r="J50" s="12" t="s">
        <v>37</v>
      </c>
      <c r="K50" s="13" t="str">
        <f>IF(J50="Won","✔","")</f>
        <v/>
      </c>
      <c r="L50" s="10" t="s">
        <v>119</v>
      </c>
      <c r="M50" s="14">
        <v>61018.52</v>
      </c>
      <c r="N50" s="10"/>
      <c r="O50" s="10"/>
      <c r="P50" s="10"/>
      <c r="Q50" s="10"/>
      <c r="R50" s="10"/>
      <c r="S50" s="12"/>
      <c r="T50" s="14"/>
      <c r="U50" s="14"/>
      <c r="V50" s="10"/>
      <c r="W50" s="10"/>
    </row>
    <row r="51" spans="1:23" ht="15" customHeight="1" outlineLevel="1">
      <c r="A51" s="4" t="s">
        <v>639</v>
      </c>
      <c r="B51" s="10" t="s">
        <v>640</v>
      </c>
      <c r="C51" s="10" t="s">
        <v>108</v>
      </c>
      <c r="D51" s="10" t="s">
        <v>641</v>
      </c>
      <c r="E51" s="11" t="s">
        <v>642</v>
      </c>
      <c r="F51" s="10" t="s">
        <v>30</v>
      </c>
      <c r="G51" s="10" t="s">
        <v>35</v>
      </c>
      <c r="H51" s="11"/>
      <c r="I51" s="10" t="s">
        <v>30</v>
      </c>
      <c r="J51" s="12" t="s">
        <v>37</v>
      </c>
      <c r="K51" s="13" t="str">
        <f>IF(J51="Won","✔","")</f>
        <v/>
      </c>
      <c r="L51" s="10"/>
      <c r="M51" s="14"/>
      <c r="N51" s="10"/>
      <c r="O51" s="10"/>
      <c r="P51" s="10"/>
      <c r="Q51" s="10"/>
      <c r="R51" s="10"/>
      <c r="S51" s="12"/>
      <c r="T51" s="14"/>
      <c r="U51" s="14"/>
      <c r="V51" s="10"/>
      <c r="W51" s="10"/>
    </row>
    <row r="52" spans="1:23" ht="15" customHeight="1" outlineLevel="1">
      <c r="A52" s="4" t="s">
        <v>643</v>
      </c>
      <c r="B52" s="5" t="s">
        <v>625</v>
      </c>
      <c r="C52" s="5" t="s">
        <v>53</v>
      </c>
      <c r="D52" s="5" t="s">
        <v>644</v>
      </c>
      <c r="E52" s="6" t="s">
        <v>645</v>
      </c>
      <c r="F52" s="5" t="s">
        <v>206</v>
      </c>
      <c r="G52" s="5" t="s">
        <v>28</v>
      </c>
      <c r="H52" s="6" t="s">
        <v>645</v>
      </c>
      <c r="I52" s="5" t="s">
        <v>144</v>
      </c>
      <c r="J52" s="7" t="s">
        <v>31</v>
      </c>
      <c r="K52" s="7" t="str">
        <f>IF(J52="Won","✔","")</f>
        <v>✔</v>
      </c>
      <c r="L52" s="5" t="s">
        <v>56</v>
      </c>
      <c r="M52" s="8">
        <v>54923.97</v>
      </c>
      <c r="N52" s="5" t="s">
        <v>646</v>
      </c>
      <c r="O52" s="5"/>
      <c r="P52" s="5"/>
      <c r="Q52" s="5"/>
      <c r="R52" s="5"/>
      <c r="S52" s="9" t="s">
        <v>495</v>
      </c>
      <c r="T52" s="8"/>
      <c r="U52" s="8"/>
      <c r="V52" s="5"/>
      <c r="W52" s="5"/>
    </row>
    <row r="53" spans="1:23" ht="15" customHeight="1" outlineLevel="1">
      <c r="A53" s="4" t="s">
        <v>647</v>
      </c>
      <c r="B53" s="20" t="s">
        <v>640</v>
      </c>
      <c r="C53" s="20" t="s">
        <v>648</v>
      </c>
      <c r="D53" s="20" t="s">
        <v>649</v>
      </c>
      <c r="E53" s="21" t="s">
        <v>650</v>
      </c>
      <c r="F53" s="20" t="s">
        <v>42</v>
      </c>
      <c r="G53" s="20" t="s">
        <v>28</v>
      </c>
      <c r="H53" s="21"/>
      <c r="I53" s="20"/>
      <c r="J53" s="22" t="s">
        <v>80</v>
      </c>
      <c r="K53" s="23" t="str">
        <f>IF(J53="Won","✔","")</f>
        <v/>
      </c>
      <c r="L53" s="20" t="s">
        <v>139</v>
      </c>
      <c r="M53" s="24"/>
      <c r="N53" s="20"/>
      <c r="O53" s="20"/>
      <c r="P53" s="20"/>
      <c r="Q53" s="20" t="s">
        <v>651</v>
      </c>
      <c r="R53" s="20"/>
      <c r="S53" s="22"/>
      <c r="T53" s="24"/>
      <c r="U53" s="24"/>
      <c r="V53" s="20"/>
      <c r="W53" s="20"/>
    </row>
    <row r="54" spans="1:23" ht="15" customHeight="1" outlineLevel="1">
      <c r="A54" s="4" t="s">
        <v>652</v>
      </c>
      <c r="B54" s="10" t="s">
        <v>560</v>
      </c>
      <c r="C54" s="10" t="s">
        <v>108</v>
      </c>
      <c r="D54" s="10" t="s">
        <v>653</v>
      </c>
      <c r="E54" s="11" t="s">
        <v>654</v>
      </c>
      <c r="F54" s="10" t="s">
        <v>27</v>
      </c>
      <c r="G54" s="10" t="s">
        <v>28</v>
      </c>
      <c r="H54" s="11"/>
      <c r="I54" s="10" t="s">
        <v>30</v>
      </c>
      <c r="J54" s="12"/>
      <c r="K54" s="13" t="str">
        <f>IF(J54="Won","✔","")</f>
        <v/>
      </c>
      <c r="L54" s="10" t="s">
        <v>188</v>
      </c>
      <c r="M54" s="14"/>
      <c r="N54" s="10" t="s">
        <v>655</v>
      </c>
      <c r="O54" s="10"/>
      <c r="P54" s="10"/>
      <c r="Q54" s="10" t="s">
        <v>656</v>
      </c>
      <c r="R54" s="10"/>
      <c r="S54" s="12"/>
      <c r="T54" s="14"/>
      <c r="U54" s="14"/>
      <c r="V54" s="10"/>
      <c r="W54" s="10"/>
    </row>
    <row r="55" spans="1:23" ht="15" customHeight="1">
      <c r="A55" s="2"/>
      <c r="B55" s="3" t="s">
        <v>461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" customHeight="1" outlineLevel="1">
      <c r="A56" s="4" t="s">
        <v>657</v>
      </c>
      <c r="B56" s="20" t="s">
        <v>640</v>
      </c>
      <c r="C56" s="20" t="s">
        <v>658</v>
      </c>
      <c r="D56" s="20" t="s">
        <v>659</v>
      </c>
      <c r="E56" s="21" t="s">
        <v>660</v>
      </c>
      <c r="F56" s="20" t="s">
        <v>42</v>
      </c>
      <c r="G56" s="20" t="s">
        <v>28</v>
      </c>
      <c r="H56" s="21" t="s">
        <v>660</v>
      </c>
      <c r="I56" s="20" t="s">
        <v>30</v>
      </c>
      <c r="J56" s="22" t="s">
        <v>80</v>
      </c>
      <c r="K56" s="23" t="str">
        <f>IF(J56="Won","✔","")</f>
        <v/>
      </c>
      <c r="L56" s="20" t="s">
        <v>254</v>
      </c>
      <c r="M56" s="24">
        <v>109514</v>
      </c>
      <c r="N56" s="20" t="s">
        <v>661</v>
      </c>
      <c r="O56" s="20"/>
      <c r="P56" s="20"/>
      <c r="Q56" s="20" t="s">
        <v>662</v>
      </c>
      <c r="R56" s="20"/>
      <c r="S56" s="22"/>
      <c r="T56" s="24"/>
      <c r="U56" s="24"/>
      <c r="V56" s="20"/>
      <c r="W56" s="20"/>
    </row>
    <row r="57" spans="1:23" ht="15" customHeight="1" outlineLevel="1">
      <c r="A57" s="4" t="s">
        <v>663</v>
      </c>
      <c r="B57" s="20" t="s">
        <v>640</v>
      </c>
      <c r="C57" s="20" t="s">
        <v>648</v>
      </c>
      <c r="D57" s="20" t="s">
        <v>649</v>
      </c>
      <c r="E57" s="21" t="s">
        <v>664</v>
      </c>
      <c r="F57" s="20" t="s">
        <v>42</v>
      </c>
      <c r="G57" s="20" t="s">
        <v>28</v>
      </c>
      <c r="H57" s="21" t="s">
        <v>660</v>
      </c>
      <c r="I57" s="20" t="s">
        <v>30</v>
      </c>
      <c r="J57" s="22" t="s">
        <v>80</v>
      </c>
      <c r="K57" s="23" t="str">
        <f>IF(J57="Won","✔","")</f>
        <v/>
      </c>
      <c r="L57" s="20" t="s">
        <v>139</v>
      </c>
      <c r="M57" s="24">
        <v>65400</v>
      </c>
      <c r="N57" s="20"/>
      <c r="O57" s="20"/>
      <c r="P57" s="20"/>
      <c r="Q57" s="20" t="s">
        <v>651</v>
      </c>
      <c r="R57" s="20"/>
      <c r="S57" s="22"/>
      <c r="T57" s="24"/>
      <c r="U57" s="24"/>
      <c r="V57" s="20"/>
      <c r="W57" s="20"/>
    </row>
    <row r="58" spans="1:23" ht="15" customHeight="1" outlineLevel="1">
      <c r="A58" s="4" t="s">
        <v>665</v>
      </c>
      <c r="B58" s="5" t="s">
        <v>640</v>
      </c>
      <c r="C58" s="5" t="s">
        <v>604</v>
      </c>
      <c r="D58" s="5" t="s">
        <v>605</v>
      </c>
      <c r="E58" s="6" t="s">
        <v>660</v>
      </c>
      <c r="F58" s="5" t="s">
        <v>666</v>
      </c>
      <c r="G58" s="5" t="s">
        <v>35</v>
      </c>
      <c r="H58" s="6" t="s">
        <v>660</v>
      </c>
      <c r="I58" s="5" t="s">
        <v>44</v>
      </c>
      <c r="J58" s="7" t="s">
        <v>31</v>
      </c>
      <c r="K58" s="7" t="str">
        <f>IF(J58="Won","✔","")</f>
        <v>✔</v>
      </c>
      <c r="L58" s="5" t="s">
        <v>51</v>
      </c>
      <c r="M58" s="8">
        <v>110813</v>
      </c>
      <c r="N58" s="5" t="s">
        <v>606</v>
      </c>
      <c r="O58" s="5"/>
      <c r="P58" s="5"/>
      <c r="Q58" s="5"/>
      <c r="R58" s="5"/>
      <c r="S58" s="9"/>
      <c r="T58" s="8"/>
      <c r="U58" s="8"/>
      <c r="V58" s="5"/>
      <c r="W58" s="5"/>
    </row>
    <row r="59" spans="1:23" ht="15" customHeight="1" outlineLevel="1">
      <c r="A59" s="4" t="s">
        <v>667</v>
      </c>
      <c r="B59" s="10" t="s">
        <v>660</v>
      </c>
      <c r="C59" s="10" t="s">
        <v>241</v>
      </c>
      <c r="D59" s="10" t="s">
        <v>668</v>
      </c>
      <c r="E59" s="11" t="s">
        <v>669</v>
      </c>
      <c r="F59" s="10" t="s">
        <v>27</v>
      </c>
      <c r="G59" s="10" t="s">
        <v>28</v>
      </c>
      <c r="H59" s="11" t="s">
        <v>669</v>
      </c>
      <c r="I59" s="10" t="s">
        <v>30</v>
      </c>
      <c r="J59" s="12" t="s">
        <v>37</v>
      </c>
      <c r="K59" s="13" t="str">
        <f>IF(J59="Won","✔","")</f>
        <v/>
      </c>
      <c r="L59" s="10" t="s">
        <v>51</v>
      </c>
      <c r="M59" s="14">
        <v>24345.599999999999</v>
      </c>
      <c r="N59" s="10" t="s">
        <v>670</v>
      </c>
      <c r="O59" s="10"/>
      <c r="P59" s="10"/>
      <c r="Q59" s="10"/>
      <c r="R59" s="10"/>
      <c r="S59" s="12"/>
      <c r="T59" s="14"/>
      <c r="U59" s="14"/>
      <c r="V59" s="10"/>
      <c r="W59" s="10"/>
    </row>
    <row r="60" spans="1:23" ht="15" customHeight="1" outlineLevel="1">
      <c r="A60" s="4" t="s">
        <v>671</v>
      </c>
      <c r="B60" s="10" t="s">
        <v>642</v>
      </c>
      <c r="C60" s="10" t="s">
        <v>108</v>
      </c>
      <c r="D60" s="10" t="s">
        <v>672</v>
      </c>
      <c r="E60" s="11" t="s">
        <v>673</v>
      </c>
      <c r="F60" s="10" t="s">
        <v>206</v>
      </c>
      <c r="G60" s="10" t="s">
        <v>585</v>
      </c>
      <c r="H60" s="11" t="s">
        <v>673</v>
      </c>
      <c r="I60" s="10" t="s">
        <v>44</v>
      </c>
      <c r="J60" s="12" t="s">
        <v>37</v>
      </c>
      <c r="K60" s="13" t="str">
        <f>IF(J60="Won","✔","")</f>
        <v/>
      </c>
      <c r="L60" s="10" t="s">
        <v>488</v>
      </c>
      <c r="M60" s="14">
        <v>180000</v>
      </c>
      <c r="N60" s="10"/>
      <c r="O60" s="10"/>
      <c r="P60" s="10"/>
      <c r="Q60" s="10" t="s">
        <v>674</v>
      </c>
      <c r="R60" s="10"/>
      <c r="S60" s="12"/>
      <c r="T60" s="14"/>
      <c r="U60" s="14"/>
      <c r="V60" s="10"/>
      <c r="W60" s="10"/>
    </row>
    <row r="61" spans="1:23" ht="15" customHeight="1" outlineLevel="1">
      <c r="A61" s="4" t="s">
        <v>675</v>
      </c>
      <c r="B61" s="10" t="s">
        <v>660</v>
      </c>
      <c r="C61" s="10" t="s">
        <v>608</v>
      </c>
      <c r="D61" s="10" t="s">
        <v>676</v>
      </c>
      <c r="E61" s="11" t="s">
        <v>673</v>
      </c>
      <c r="F61" s="10" t="s">
        <v>27</v>
      </c>
      <c r="G61" s="10" t="s">
        <v>28</v>
      </c>
      <c r="H61" s="11" t="s">
        <v>673</v>
      </c>
      <c r="I61" s="10" t="s">
        <v>44</v>
      </c>
      <c r="J61" s="12" t="s">
        <v>37</v>
      </c>
      <c r="K61" s="13" t="str">
        <f>IF(J61="Won","✔","")</f>
        <v/>
      </c>
      <c r="L61" s="10" t="s">
        <v>168</v>
      </c>
      <c r="M61" s="14">
        <v>17374</v>
      </c>
      <c r="N61" s="10" t="s">
        <v>677</v>
      </c>
      <c r="O61" s="10"/>
      <c r="P61" s="10"/>
      <c r="Q61" s="10"/>
      <c r="R61" s="10"/>
      <c r="S61" s="12"/>
      <c r="T61" s="14"/>
      <c r="U61" s="14"/>
      <c r="V61" s="10"/>
      <c r="W61" s="10"/>
    </row>
    <row r="62" spans="1:23" ht="15" customHeight="1" outlineLevel="1">
      <c r="A62" s="4" t="s">
        <v>678</v>
      </c>
      <c r="B62" s="10" t="s">
        <v>664</v>
      </c>
      <c r="C62" s="10" t="s">
        <v>524</v>
      </c>
      <c r="D62" s="10" t="s">
        <v>679</v>
      </c>
      <c r="E62" s="11" t="s">
        <v>680</v>
      </c>
      <c r="F62" s="10" t="s">
        <v>30</v>
      </c>
      <c r="G62" s="10" t="s">
        <v>28</v>
      </c>
      <c r="H62" s="11" t="s">
        <v>680</v>
      </c>
      <c r="I62" s="10" t="s">
        <v>30</v>
      </c>
      <c r="J62" s="12" t="s">
        <v>37</v>
      </c>
      <c r="K62" s="13" t="str">
        <f>IF(J62="Won","✔","")</f>
        <v/>
      </c>
      <c r="L62" s="10" t="s">
        <v>681</v>
      </c>
      <c r="M62" s="14">
        <v>3738.5</v>
      </c>
      <c r="N62" s="10" t="s">
        <v>682</v>
      </c>
      <c r="O62" s="10"/>
      <c r="P62" s="10"/>
      <c r="Q62" s="10"/>
      <c r="R62" s="10"/>
      <c r="S62" s="12"/>
      <c r="T62" s="14"/>
      <c r="U62" s="14"/>
      <c r="V62" s="10"/>
      <c r="W62" s="10"/>
    </row>
    <row r="63" spans="1:23" ht="15" customHeight="1" outlineLevel="1">
      <c r="A63" s="4" t="s">
        <v>683</v>
      </c>
      <c r="B63" s="10" t="s">
        <v>673</v>
      </c>
      <c r="C63" s="10" t="s">
        <v>235</v>
      </c>
      <c r="D63" s="10" t="s">
        <v>684</v>
      </c>
      <c r="E63" s="11" t="s">
        <v>680</v>
      </c>
      <c r="F63" s="10" t="s">
        <v>30</v>
      </c>
      <c r="G63" s="10" t="s">
        <v>28</v>
      </c>
      <c r="H63" s="11" t="s">
        <v>685</v>
      </c>
      <c r="I63" s="10" t="s">
        <v>30</v>
      </c>
      <c r="J63" s="12" t="s">
        <v>37</v>
      </c>
      <c r="K63" s="13" t="str">
        <f>IF(J63="Won","✔","")</f>
        <v/>
      </c>
      <c r="L63" s="10" t="s">
        <v>150</v>
      </c>
      <c r="M63" s="14">
        <v>2085</v>
      </c>
      <c r="N63" s="10"/>
      <c r="O63" s="10"/>
      <c r="P63" s="10"/>
      <c r="Q63" s="10"/>
      <c r="R63" s="10"/>
      <c r="S63" s="12"/>
      <c r="T63" s="14"/>
      <c r="U63" s="14"/>
      <c r="V63" s="10"/>
      <c r="W63" s="10"/>
    </row>
    <row r="64" spans="1:23" ht="15" customHeight="1" outlineLevel="1">
      <c r="A64" s="4" t="s">
        <v>686</v>
      </c>
      <c r="B64" s="10" t="s">
        <v>642</v>
      </c>
      <c r="C64" s="10" t="s">
        <v>108</v>
      </c>
      <c r="D64" s="10" t="s">
        <v>687</v>
      </c>
      <c r="E64" s="11" t="s">
        <v>680</v>
      </c>
      <c r="F64" s="10" t="s">
        <v>163</v>
      </c>
      <c r="G64" s="10" t="s">
        <v>585</v>
      </c>
      <c r="H64" s="11" t="s">
        <v>688</v>
      </c>
      <c r="I64" s="10" t="s">
        <v>44</v>
      </c>
      <c r="J64" s="12" t="s">
        <v>37</v>
      </c>
      <c r="K64" s="13" t="str">
        <f>IF(J64="Won","✔","")</f>
        <v/>
      </c>
      <c r="L64" s="10" t="s">
        <v>92</v>
      </c>
      <c r="M64" s="14">
        <v>104388</v>
      </c>
      <c r="N64" s="10"/>
      <c r="O64" s="10"/>
      <c r="P64" s="10"/>
      <c r="Q64" s="10" t="s">
        <v>689</v>
      </c>
      <c r="R64" s="10"/>
      <c r="S64" s="12"/>
      <c r="T64" s="14"/>
      <c r="U64" s="14"/>
      <c r="V64" s="10"/>
      <c r="W64" s="10"/>
    </row>
    <row r="65" spans="1:23" ht="15" customHeight="1" outlineLevel="1">
      <c r="A65" s="4" t="s">
        <v>690</v>
      </c>
      <c r="B65" s="10" t="s">
        <v>680</v>
      </c>
      <c r="C65" s="10" t="s">
        <v>108</v>
      </c>
      <c r="D65" s="10" t="s">
        <v>691</v>
      </c>
      <c r="E65" s="11" t="s">
        <v>685</v>
      </c>
      <c r="F65" s="10" t="s">
        <v>30</v>
      </c>
      <c r="G65" s="10" t="s">
        <v>308</v>
      </c>
      <c r="H65" s="11" t="s">
        <v>692</v>
      </c>
      <c r="I65" s="10" t="s">
        <v>30</v>
      </c>
      <c r="J65" s="12" t="s">
        <v>37</v>
      </c>
      <c r="K65" s="13" t="str">
        <f>IF(J65="Won","✔","")</f>
        <v/>
      </c>
      <c r="L65" s="10" t="s">
        <v>693</v>
      </c>
      <c r="M65" s="14">
        <v>2267</v>
      </c>
      <c r="N65" s="10"/>
      <c r="O65" s="10"/>
      <c r="P65" s="10"/>
      <c r="Q65" s="10"/>
      <c r="R65" s="10"/>
      <c r="S65" s="12"/>
      <c r="T65" s="14"/>
      <c r="U65" s="14"/>
      <c r="V65" s="10"/>
      <c r="W65" s="10"/>
    </row>
    <row r="66" spans="1:23" ht="15" customHeight="1" outlineLevel="1">
      <c r="A66" s="4" t="s">
        <v>694</v>
      </c>
      <c r="B66" s="10" t="s">
        <v>673</v>
      </c>
      <c r="C66" s="10" t="s">
        <v>695</v>
      </c>
      <c r="D66" s="10" t="s">
        <v>696</v>
      </c>
      <c r="E66" s="11" t="s">
        <v>688</v>
      </c>
      <c r="F66" s="10" t="s">
        <v>30</v>
      </c>
      <c r="G66" s="10" t="s">
        <v>28</v>
      </c>
      <c r="H66" s="11"/>
      <c r="I66" s="10" t="s">
        <v>30</v>
      </c>
      <c r="J66" s="12"/>
      <c r="K66" s="13" t="str">
        <f>IF(J66="Won","✔","")</f>
        <v/>
      </c>
      <c r="L66" s="10"/>
      <c r="M66" s="14">
        <v>2200</v>
      </c>
      <c r="N66" s="10"/>
      <c r="O66" s="10"/>
      <c r="P66" s="10"/>
      <c r="Q66" s="10"/>
      <c r="R66" s="10"/>
      <c r="S66" s="12"/>
      <c r="T66" s="14"/>
      <c r="U66" s="14"/>
      <c r="V66" s="10"/>
      <c r="W66" s="10"/>
    </row>
    <row r="67" spans="1:23" ht="15" customHeight="1" outlineLevel="1">
      <c r="A67" s="4" t="s">
        <v>697</v>
      </c>
      <c r="B67" s="10" t="s">
        <v>698</v>
      </c>
      <c r="C67" s="10" t="s">
        <v>73</v>
      </c>
      <c r="D67" s="10" t="s">
        <v>699</v>
      </c>
      <c r="E67" s="11" t="s">
        <v>698</v>
      </c>
      <c r="F67" s="10" t="s">
        <v>30</v>
      </c>
      <c r="G67" s="10" t="s">
        <v>28</v>
      </c>
      <c r="H67" s="11" t="s">
        <v>698</v>
      </c>
      <c r="I67" s="10" t="s">
        <v>30</v>
      </c>
      <c r="J67" s="12" t="s">
        <v>37</v>
      </c>
      <c r="K67" s="13" t="str">
        <f>IF(J67="Won","✔","")</f>
        <v/>
      </c>
      <c r="L67" s="10" t="s">
        <v>119</v>
      </c>
      <c r="M67" s="14">
        <v>850</v>
      </c>
      <c r="N67" s="10"/>
      <c r="O67" s="10"/>
      <c r="P67" s="10"/>
      <c r="Q67" s="10"/>
      <c r="R67" s="10"/>
      <c r="S67" s="12"/>
      <c r="T67" s="14"/>
      <c r="U67" s="14"/>
      <c r="V67" s="10"/>
      <c r="W67" s="10"/>
    </row>
    <row r="68" spans="1:23" ht="15" customHeight="1" outlineLevel="1">
      <c r="A68" s="4" t="s">
        <v>700</v>
      </c>
      <c r="B68" s="10" t="s">
        <v>640</v>
      </c>
      <c r="C68" s="10" t="s">
        <v>108</v>
      </c>
      <c r="D68" s="10" t="s">
        <v>701</v>
      </c>
      <c r="E68" s="11" t="s">
        <v>698</v>
      </c>
      <c r="F68" s="10" t="s">
        <v>27</v>
      </c>
      <c r="G68" s="10" t="s">
        <v>28</v>
      </c>
      <c r="H68" s="11" t="s">
        <v>692</v>
      </c>
      <c r="I68" s="10" t="s">
        <v>30</v>
      </c>
      <c r="J68" s="12" t="s">
        <v>37</v>
      </c>
      <c r="K68" s="13" t="str">
        <f>IF(J68="Won","✔","")</f>
        <v/>
      </c>
      <c r="L68" s="10" t="s">
        <v>702</v>
      </c>
      <c r="M68" s="14">
        <v>30388</v>
      </c>
      <c r="N68" s="10" t="s">
        <v>703</v>
      </c>
      <c r="O68" s="10"/>
      <c r="P68" s="10"/>
      <c r="Q68" s="10"/>
      <c r="R68" s="10"/>
      <c r="S68" s="12"/>
      <c r="T68" s="14"/>
      <c r="U68" s="14"/>
      <c r="V68" s="10"/>
      <c r="W68" s="10"/>
    </row>
    <row r="69" spans="1:23" ht="15" customHeight="1" outlineLevel="1">
      <c r="A69" s="4" t="s">
        <v>704</v>
      </c>
      <c r="B69" s="5" t="s">
        <v>705</v>
      </c>
      <c r="C69" s="5" t="s">
        <v>102</v>
      </c>
      <c r="D69" s="5" t="s">
        <v>706</v>
      </c>
      <c r="E69" s="6" t="s">
        <v>707</v>
      </c>
      <c r="F69" s="5" t="s">
        <v>30</v>
      </c>
      <c r="G69" s="5" t="s">
        <v>28</v>
      </c>
      <c r="H69" s="6" t="s">
        <v>707</v>
      </c>
      <c r="I69" s="5" t="s">
        <v>30</v>
      </c>
      <c r="J69" s="7" t="s">
        <v>31</v>
      </c>
      <c r="K69" s="7" t="str">
        <f>IF(J69="Won","✔","")</f>
        <v>✔</v>
      </c>
      <c r="L69" s="5" t="s">
        <v>150</v>
      </c>
      <c r="M69" s="8">
        <v>36059</v>
      </c>
      <c r="N69" s="5"/>
      <c r="O69" s="5"/>
      <c r="P69" s="5"/>
      <c r="Q69" s="5"/>
      <c r="R69" s="5"/>
      <c r="S69" s="9"/>
      <c r="T69" s="8"/>
      <c r="U69" s="8"/>
      <c r="V69" s="5"/>
      <c r="W69" s="5"/>
    </row>
    <row r="70" spans="1:23" ht="15" customHeight="1" outlineLevel="1">
      <c r="A70" s="4" t="s">
        <v>708</v>
      </c>
      <c r="B70" s="5" t="s">
        <v>669</v>
      </c>
      <c r="C70" s="5" t="s">
        <v>709</v>
      </c>
      <c r="D70" s="5" t="s">
        <v>710</v>
      </c>
      <c r="E70" s="6" t="s">
        <v>698</v>
      </c>
      <c r="F70" s="5" t="s">
        <v>30</v>
      </c>
      <c r="G70" s="5" t="s">
        <v>28</v>
      </c>
      <c r="H70" s="6" t="s">
        <v>698</v>
      </c>
      <c r="I70" s="5" t="s">
        <v>30</v>
      </c>
      <c r="J70" s="7" t="s">
        <v>31</v>
      </c>
      <c r="K70" s="7" t="str">
        <f>IF(J70="Won","✔","")</f>
        <v>✔</v>
      </c>
      <c r="L70" s="5" t="s">
        <v>213</v>
      </c>
      <c r="M70" s="8">
        <v>14812</v>
      </c>
      <c r="N70" s="5"/>
      <c r="O70" s="5"/>
      <c r="P70" s="5"/>
      <c r="Q70" s="5"/>
      <c r="R70" s="5"/>
      <c r="S70" s="9" t="s">
        <v>495</v>
      </c>
      <c r="T70" s="8"/>
      <c r="U70" s="8"/>
      <c r="V70" s="5"/>
      <c r="W70" s="5"/>
    </row>
    <row r="71" spans="1:23" ht="15" customHeight="1" outlineLevel="1">
      <c r="A71" s="4" t="s">
        <v>711</v>
      </c>
      <c r="B71" s="10" t="s">
        <v>712</v>
      </c>
      <c r="C71" s="10" t="s">
        <v>386</v>
      </c>
      <c r="D71" s="10" t="s">
        <v>713</v>
      </c>
      <c r="E71" s="11" t="s">
        <v>707</v>
      </c>
      <c r="F71" s="10" t="s">
        <v>206</v>
      </c>
      <c r="G71" s="10" t="s">
        <v>28</v>
      </c>
      <c r="H71" s="11" t="s">
        <v>698</v>
      </c>
      <c r="I71" s="10" t="s">
        <v>44</v>
      </c>
      <c r="J71" s="12" t="s">
        <v>37</v>
      </c>
      <c r="K71" s="13" t="str">
        <f>IF(J71="Won","✔","")</f>
        <v/>
      </c>
      <c r="L71" s="10" t="s">
        <v>714</v>
      </c>
      <c r="M71" s="14">
        <v>241437</v>
      </c>
      <c r="N71" s="10"/>
      <c r="O71" s="10"/>
      <c r="P71" s="10"/>
      <c r="Q71" s="10"/>
      <c r="R71" s="10"/>
      <c r="S71" s="12"/>
      <c r="T71" s="14"/>
      <c r="U71" s="14"/>
      <c r="V71" s="10"/>
      <c r="W71" s="10"/>
    </row>
    <row r="72" spans="1:23" ht="15" customHeight="1" outlineLevel="1">
      <c r="A72" s="4" t="s">
        <v>715</v>
      </c>
      <c r="B72" s="10" t="s">
        <v>688</v>
      </c>
      <c r="C72" s="10" t="s">
        <v>53</v>
      </c>
      <c r="D72" s="10" t="s">
        <v>716</v>
      </c>
      <c r="E72" s="11" t="s">
        <v>717</v>
      </c>
      <c r="F72" s="10" t="s">
        <v>30</v>
      </c>
      <c r="G72" s="10" t="s">
        <v>28</v>
      </c>
      <c r="H72" s="11" t="s">
        <v>698</v>
      </c>
      <c r="I72" s="10" t="s">
        <v>30</v>
      </c>
      <c r="J72" s="12" t="s">
        <v>37</v>
      </c>
      <c r="K72" s="13" t="str">
        <f>IF(J72="Won","✔","")</f>
        <v/>
      </c>
      <c r="L72" s="10" t="s">
        <v>119</v>
      </c>
      <c r="M72" s="14">
        <v>986</v>
      </c>
      <c r="N72" s="10"/>
      <c r="O72" s="10"/>
      <c r="P72" s="10"/>
      <c r="Q72" s="10" t="s">
        <v>718</v>
      </c>
      <c r="R72" s="10"/>
      <c r="S72" s="12"/>
      <c r="T72" s="14"/>
      <c r="U72" s="14"/>
      <c r="V72" s="10"/>
      <c r="W72" s="10"/>
    </row>
    <row r="73" spans="1:23" ht="15" customHeight="1" outlineLevel="1">
      <c r="A73" s="4" t="s">
        <v>719</v>
      </c>
      <c r="B73" s="15" t="s">
        <v>669</v>
      </c>
      <c r="C73" s="15" t="s">
        <v>53</v>
      </c>
      <c r="D73" s="15" t="s">
        <v>720</v>
      </c>
      <c r="E73" s="16" t="s">
        <v>721</v>
      </c>
      <c r="F73" s="15" t="s">
        <v>42</v>
      </c>
      <c r="G73" s="15" t="s">
        <v>28</v>
      </c>
      <c r="H73" s="16" t="s">
        <v>721</v>
      </c>
      <c r="I73" s="15" t="s">
        <v>144</v>
      </c>
      <c r="J73" s="17" t="s">
        <v>145</v>
      </c>
      <c r="K73" s="18" t="str">
        <f>IF(J73="Won","✔","")</f>
        <v/>
      </c>
      <c r="L73" s="15" t="s">
        <v>150</v>
      </c>
      <c r="M73" s="19">
        <v>31423</v>
      </c>
      <c r="N73" s="15"/>
      <c r="O73" s="15"/>
      <c r="P73" s="15"/>
      <c r="Q73" s="15"/>
      <c r="R73" s="15"/>
      <c r="S73" s="17"/>
      <c r="T73" s="19"/>
      <c r="U73" s="19"/>
      <c r="V73" s="15"/>
      <c r="W73" s="15"/>
    </row>
    <row r="74" spans="1:23" ht="15" customHeight="1" outlineLevel="1">
      <c r="A74" s="4" t="s">
        <v>722</v>
      </c>
      <c r="B74" s="5" t="s">
        <v>560</v>
      </c>
      <c r="C74" s="5" t="s">
        <v>108</v>
      </c>
      <c r="D74" s="5" t="s">
        <v>653</v>
      </c>
      <c r="E74" s="6" t="s">
        <v>723</v>
      </c>
      <c r="F74" s="5" t="s">
        <v>27</v>
      </c>
      <c r="G74" s="5" t="s">
        <v>28</v>
      </c>
      <c r="H74" s="6" t="s">
        <v>723</v>
      </c>
      <c r="I74" s="5" t="s">
        <v>30</v>
      </c>
      <c r="J74" s="7" t="s">
        <v>31</v>
      </c>
      <c r="K74" s="7" t="str">
        <f>IF(J74="Won","✔","")</f>
        <v>✔</v>
      </c>
      <c r="L74" s="5" t="s">
        <v>188</v>
      </c>
      <c r="M74" s="8">
        <v>83307</v>
      </c>
      <c r="N74" s="5" t="s">
        <v>655</v>
      </c>
      <c r="O74" s="5"/>
      <c r="P74" s="5" t="s">
        <v>724</v>
      </c>
      <c r="Q74" s="5" t="s">
        <v>656</v>
      </c>
      <c r="R74" s="5"/>
      <c r="S74" s="9"/>
      <c r="T74" s="8"/>
      <c r="U74" s="8"/>
      <c r="V74" s="5"/>
      <c r="W74" s="5"/>
    </row>
    <row r="75" spans="1:23" ht="15" customHeight="1" outlineLevel="1">
      <c r="A75" s="4" t="s">
        <v>725</v>
      </c>
      <c r="B75" s="20" t="s">
        <v>726</v>
      </c>
      <c r="C75" s="20" t="s">
        <v>108</v>
      </c>
      <c r="D75" s="20" t="s">
        <v>727</v>
      </c>
      <c r="E75" s="21" t="s">
        <v>728</v>
      </c>
      <c r="F75" s="20" t="s">
        <v>729</v>
      </c>
      <c r="G75" s="20" t="s">
        <v>28</v>
      </c>
      <c r="H75" s="21"/>
      <c r="I75" s="20" t="s">
        <v>44</v>
      </c>
      <c r="J75" s="22" t="s">
        <v>357</v>
      </c>
      <c r="K75" s="23" t="str">
        <f>IF(J75="Won","✔","")</f>
        <v/>
      </c>
      <c r="L75" s="20"/>
      <c r="M75" s="24">
        <v>398750</v>
      </c>
      <c r="N75" s="20"/>
      <c r="O75" s="20"/>
      <c r="P75" s="20"/>
      <c r="Q75" s="20"/>
      <c r="R75" s="20"/>
      <c r="S75" s="22"/>
      <c r="T75" s="24"/>
      <c r="U75" s="24"/>
      <c r="V75" s="20"/>
      <c r="W75" s="20"/>
    </row>
    <row r="76" spans="1:23" ht="15" customHeight="1" outlineLevel="1">
      <c r="A76" s="4" t="s">
        <v>730</v>
      </c>
      <c r="B76" s="10" t="s">
        <v>731</v>
      </c>
      <c r="C76" s="10" t="s">
        <v>648</v>
      </c>
      <c r="D76" s="10" t="s">
        <v>732</v>
      </c>
      <c r="E76" s="11" t="s">
        <v>728</v>
      </c>
      <c r="F76" s="10" t="s">
        <v>42</v>
      </c>
      <c r="G76" s="10" t="s">
        <v>28</v>
      </c>
      <c r="H76" s="11" t="s">
        <v>723</v>
      </c>
      <c r="I76" s="10" t="s">
        <v>30</v>
      </c>
      <c r="J76" s="12" t="s">
        <v>37</v>
      </c>
      <c r="K76" s="13" t="str">
        <f>IF(J76="Won","✔","")</f>
        <v/>
      </c>
      <c r="L76" s="10" t="s">
        <v>168</v>
      </c>
      <c r="M76" s="14">
        <v>1810</v>
      </c>
      <c r="N76" s="10"/>
      <c r="O76" s="10"/>
      <c r="P76" s="10"/>
      <c r="Q76" s="10"/>
      <c r="R76" s="10"/>
      <c r="S76" s="12"/>
      <c r="T76" s="14"/>
      <c r="U76" s="14"/>
      <c r="V76" s="10"/>
      <c r="W76" s="10"/>
    </row>
    <row r="77" spans="1:23" ht="15" customHeight="1" outlineLevel="1">
      <c r="A77" s="4" t="s">
        <v>733</v>
      </c>
      <c r="B77" s="10" t="s">
        <v>685</v>
      </c>
      <c r="C77" s="10" t="s">
        <v>734</v>
      </c>
      <c r="D77" s="10" t="s">
        <v>735</v>
      </c>
      <c r="E77" s="11" t="s">
        <v>728</v>
      </c>
      <c r="F77" s="10" t="s">
        <v>118</v>
      </c>
      <c r="G77" s="10" t="s">
        <v>35</v>
      </c>
      <c r="H77" s="11"/>
      <c r="I77" s="10" t="s">
        <v>44</v>
      </c>
      <c r="J77" s="12"/>
      <c r="K77" s="13" t="str">
        <f>IF(J77="Won","✔","")</f>
        <v/>
      </c>
      <c r="L77" s="10" t="s">
        <v>168</v>
      </c>
      <c r="M77" s="14">
        <v>42000</v>
      </c>
      <c r="N77" s="10"/>
      <c r="O77" s="10"/>
      <c r="P77" s="10"/>
      <c r="Q77" s="10"/>
      <c r="R77" s="10"/>
      <c r="S77" s="12"/>
      <c r="T77" s="14"/>
      <c r="U77" s="14"/>
      <c r="V77" s="10"/>
      <c r="W77" s="10"/>
    </row>
    <row r="78" spans="1:23" ht="15" customHeight="1" outlineLevel="1">
      <c r="A78" s="4" t="s">
        <v>736</v>
      </c>
      <c r="B78" s="10" t="s">
        <v>692</v>
      </c>
      <c r="C78" s="10" t="s">
        <v>737</v>
      </c>
      <c r="D78" s="10" t="s">
        <v>595</v>
      </c>
      <c r="E78" s="11" t="s">
        <v>738</v>
      </c>
      <c r="F78" s="10" t="s">
        <v>30</v>
      </c>
      <c r="G78" s="10" t="s">
        <v>35</v>
      </c>
      <c r="H78" s="11" t="s">
        <v>738</v>
      </c>
      <c r="I78" s="10" t="s">
        <v>44</v>
      </c>
      <c r="J78" s="12" t="s">
        <v>37</v>
      </c>
      <c r="K78" s="13" t="str">
        <f>IF(J78="Won","✔","")</f>
        <v/>
      </c>
      <c r="L78" s="10" t="s">
        <v>51</v>
      </c>
      <c r="M78" s="14">
        <v>111377</v>
      </c>
      <c r="N78" s="10" t="s">
        <v>597</v>
      </c>
      <c r="O78" s="10"/>
      <c r="P78" s="10"/>
      <c r="Q78" s="10"/>
      <c r="R78" s="10"/>
      <c r="S78" s="12"/>
      <c r="T78" s="14"/>
      <c r="U78" s="14"/>
      <c r="V78" s="10"/>
      <c r="W78" s="10"/>
    </row>
    <row r="79" spans="1:23" ht="15" customHeight="1" outlineLevel="1">
      <c r="A79" s="4" t="s">
        <v>739</v>
      </c>
      <c r="B79" s="10" t="s">
        <v>721</v>
      </c>
      <c r="C79" s="10" t="s">
        <v>524</v>
      </c>
      <c r="D79" s="10" t="s">
        <v>740</v>
      </c>
      <c r="E79" s="11" t="s">
        <v>738</v>
      </c>
      <c r="F79" s="10" t="s">
        <v>30</v>
      </c>
      <c r="G79" s="10" t="s">
        <v>28</v>
      </c>
      <c r="H79" s="11" t="s">
        <v>738</v>
      </c>
      <c r="I79" s="10" t="s">
        <v>30</v>
      </c>
      <c r="J79" s="12" t="s">
        <v>37</v>
      </c>
      <c r="K79" s="13" t="str">
        <f>IF(J79="Won","✔","")</f>
        <v/>
      </c>
      <c r="L79" s="10" t="s">
        <v>168</v>
      </c>
      <c r="M79" s="14">
        <v>5091</v>
      </c>
      <c r="N79" s="10"/>
      <c r="O79" s="10"/>
      <c r="P79" s="10"/>
      <c r="Q79" s="10"/>
      <c r="R79" s="10"/>
      <c r="S79" s="12"/>
      <c r="T79" s="14"/>
      <c r="U79" s="14"/>
      <c r="V79" s="10"/>
      <c r="W79" s="10"/>
    </row>
    <row r="80" spans="1:23" ht="15" customHeight="1" outlineLevel="1">
      <c r="A80" s="4" t="s">
        <v>741</v>
      </c>
      <c r="B80" s="10" t="s">
        <v>564</v>
      </c>
      <c r="C80" s="10" t="s">
        <v>604</v>
      </c>
      <c r="D80" s="10" t="s">
        <v>605</v>
      </c>
      <c r="E80" s="11" t="s">
        <v>742</v>
      </c>
      <c r="F80" s="10" t="s">
        <v>42</v>
      </c>
      <c r="G80" s="10" t="s">
        <v>28</v>
      </c>
      <c r="H80" s="11" t="s">
        <v>742</v>
      </c>
      <c r="I80" s="10" t="s">
        <v>44</v>
      </c>
      <c r="J80" s="12" t="s">
        <v>37</v>
      </c>
      <c r="K80" s="13" t="str">
        <f>IF(J80="Won","✔","")</f>
        <v/>
      </c>
      <c r="L80" s="10" t="s">
        <v>51</v>
      </c>
      <c r="M80" s="14">
        <v>115381</v>
      </c>
      <c r="N80" s="10" t="s">
        <v>606</v>
      </c>
      <c r="O80" s="10"/>
      <c r="P80" s="10"/>
      <c r="Q80" s="10"/>
      <c r="R80" s="10"/>
      <c r="S80" s="12"/>
      <c r="T80" s="14"/>
      <c r="U80" s="14"/>
      <c r="V80" s="10"/>
      <c r="W80" s="10"/>
    </row>
    <row r="81" spans="1:23" ht="15" customHeight="1" outlineLevel="1">
      <c r="A81" s="4" t="s">
        <v>743</v>
      </c>
      <c r="B81" s="10" t="s">
        <v>698</v>
      </c>
      <c r="C81" s="10" t="s">
        <v>744</v>
      </c>
      <c r="D81" s="10" t="s">
        <v>745</v>
      </c>
      <c r="E81" s="11" t="s">
        <v>742</v>
      </c>
      <c r="F81" s="10" t="s">
        <v>42</v>
      </c>
      <c r="G81" s="10" t="s">
        <v>28</v>
      </c>
      <c r="H81" s="11" t="s">
        <v>742</v>
      </c>
      <c r="I81" s="10" t="s">
        <v>30</v>
      </c>
      <c r="J81" s="12" t="s">
        <v>37</v>
      </c>
      <c r="K81" s="13" t="str">
        <f>IF(J81="Won","✔","")</f>
        <v/>
      </c>
      <c r="L81" s="10" t="s">
        <v>45</v>
      </c>
      <c r="M81" s="14">
        <v>10831.2</v>
      </c>
      <c r="N81" s="10" t="s">
        <v>746</v>
      </c>
      <c r="O81" s="10"/>
      <c r="P81" s="10"/>
      <c r="Q81" s="10"/>
      <c r="R81" s="10"/>
      <c r="S81" s="12"/>
      <c r="T81" s="14"/>
      <c r="U81" s="14"/>
      <c r="V81" s="10"/>
      <c r="W81" s="10"/>
    </row>
    <row r="82" spans="1:23" ht="15" customHeight="1" outlineLevel="1">
      <c r="A82" s="4" t="s">
        <v>747</v>
      </c>
      <c r="B82" s="10" t="s">
        <v>748</v>
      </c>
      <c r="C82" s="10" t="s">
        <v>749</v>
      </c>
      <c r="D82" s="10" t="s">
        <v>750</v>
      </c>
      <c r="E82" s="11" t="s">
        <v>751</v>
      </c>
      <c r="F82" s="10" t="s">
        <v>206</v>
      </c>
      <c r="G82" s="10" t="s">
        <v>28</v>
      </c>
      <c r="H82" s="11"/>
      <c r="I82" s="10" t="s">
        <v>44</v>
      </c>
      <c r="J82" s="12"/>
      <c r="K82" s="13" t="str">
        <f>IF(J82="Won","✔","")</f>
        <v/>
      </c>
      <c r="L82" s="10" t="s">
        <v>51</v>
      </c>
      <c r="M82" s="14"/>
      <c r="N82" s="10"/>
      <c r="O82" s="10"/>
      <c r="P82" s="10"/>
      <c r="Q82" s="10"/>
      <c r="R82" s="10"/>
      <c r="S82" s="12"/>
      <c r="T82" s="14"/>
      <c r="U82" s="14"/>
      <c r="V82" s="10"/>
      <c r="W82" s="10"/>
    </row>
    <row r="83" spans="1:23" ht="15" customHeight="1" outlineLevel="1">
      <c r="A83" s="4" t="s">
        <v>752</v>
      </c>
      <c r="B83" s="5" t="s">
        <v>753</v>
      </c>
      <c r="C83" s="5" t="s">
        <v>108</v>
      </c>
      <c r="D83" s="5" t="s">
        <v>754</v>
      </c>
      <c r="E83" s="6" t="s">
        <v>751</v>
      </c>
      <c r="F83" s="5" t="s">
        <v>42</v>
      </c>
      <c r="G83" s="5" t="s">
        <v>585</v>
      </c>
      <c r="H83" s="6" t="s">
        <v>751</v>
      </c>
      <c r="I83" s="5" t="s">
        <v>30</v>
      </c>
      <c r="J83" s="7" t="s">
        <v>31</v>
      </c>
      <c r="K83" s="7" t="str">
        <f>IF(J83="Won","✔","")</f>
        <v>✔</v>
      </c>
      <c r="L83" s="5" t="s">
        <v>51</v>
      </c>
      <c r="M83" s="8">
        <v>394</v>
      </c>
      <c r="N83" s="5"/>
      <c r="O83" s="5"/>
      <c r="P83" s="5"/>
      <c r="Q83" s="5"/>
      <c r="R83" s="5"/>
      <c r="S83" s="9"/>
      <c r="T83" s="8"/>
      <c r="U83" s="8"/>
      <c r="V83" s="5"/>
      <c r="W83" s="5"/>
    </row>
    <row r="84" spans="1:23" ht="15" customHeight="1" outlineLevel="1">
      <c r="A84" s="4" t="s">
        <v>755</v>
      </c>
      <c r="B84" s="10" t="s">
        <v>756</v>
      </c>
      <c r="C84" s="10" t="s">
        <v>102</v>
      </c>
      <c r="D84" s="10" t="s">
        <v>757</v>
      </c>
      <c r="E84" s="11" t="s">
        <v>751</v>
      </c>
      <c r="F84" s="10" t="s">
        <v>42</v>
      </c>
      <c r="G84" s="10" t="s">
        <v>28</v>
      </c>
      <c r="H84" s="11" t="s">
        <v>751</v>
      </c>
      <c r="I84" s="10" t="s">
        <v>30</v>
      </c>
      <c r="J84" s="12" t="s">
        <v>37</v>
      </c>
      <c r="K84" s="13" t="str">
        <f>IF(J84="Won","✔","")</f>
        <v/>
      </c>
      <c r="L84" s="10" t="s">
        <v>168</v>
      </c>
      <c r="M84" s="14">
        <v>5590</v>
      </c>
      <c r="N84" s="10"/>
      <c r="O84" s="10"/>
      <c r="P84" s="10"/>
      <c r="Q84" s="10"/>
      <c r="R84" s="10"/>
      <c r="S84" s="12"/>
      <c r="T84" s="14"/>
      <c r="U84" s="14"/>
      <c r="V84" s="10"/>
      <c r="W84" s="10"/>
    </row>
    <row r="85" spans="1:23" ht="15" customHeight="1" outlineLevel="1">
      <c r="A85" s="4" t="s">
        <v>758</v>
      </c>
      <c r="B85" s="10" t="s">
        <v>673</v>
      </c>
      <c r="C85" s="10" t="s">
        <v>759</v>
      </c>
      <c r="D85" s="10" t="s">
        <v>760</v>
      </c>
      <c r="E85" s="11" t="s">
        <v>761</v>
      </c>
      <c r="F85" s="10" t="s">
        <v>206</v>
      </c>
      <c r="G85" s="10" t="s">
        <v>28</v>
      </c>
      <c r="H85" s="11"/>
      <c r="I85" s="10" t="s">
        <v>44</v>
      </c>
      <c r="J85" s="12"/>
      <c r="K85" s="13" t="str">
        <f>IF(J85="Won","✔","")</f>
        <v/>
      </c>
      <c r="L85" s="10" t="s">
        <v>168</v>
      </c>
      <c r="M85" s="14"/>
      <c r="N85" s="10"/>
      <c r="O85" s="10"/>
      <c r="P85" s="10"/>
      <c r="Q85" s="10"/>
      <c r="R85" s="10"/>
      <c r="S85" s="12"/>
      <c r="T85" s="14"/>
      <c r="U85" s="14"/>
      <c r="V85" s="10"/>
      <c r="W85" s="10"/>
    </row>
    <row r="86" spans="1:23" ht="15" customHeight="1" outlineLevel="1">
      <c r="A86" s="4" t="s">
        <v>762</v>
      </c>
      <c r="B86" s="10" t="s">
        <v>726</v>
      </c>
      <c r="C86" s="10" t="s">
        <v>282</v>
      </c>
      <c r="D86" s="10" t="s">
        <v>763</v>
      </c>
      <c r="E86" s="11" t="s">
        <v>764</v>
      </c>
      <c r="F86" s="10" t="s">
        <v>42</v>
      </c>
      <c r="G86" s="10" t="s">
        <v>28</v>
      </c>
      <c r="H86" s="11"/>
      <c r="I86" s="10" t="s">
        <v>44</v>
      </c>
      <c r="J86" s="12"/>
      <c r="K86" s="13" t="str">
        <f>IF(J86="Won","✔","")</f>
        <v/>
      </c>
      <c r="L86" s="10"/>
      <c r="M86" s="14"/>
      <c r="N86" s="10"/>
      <c r="O86" s="10"/>
      <c r="P86" s="10"/>
      <c r="Q86" s="10"/>
      <c r="R86" s="10"/>
      <c r="S86" s="12"/>
      <c r="T86" s="14"/>
      <c r="U86" s="14"/>
      <c r="V86" s="10"/>
      <c r="W86" s="10"/>
    </row>
    <row r="87" spans="1:23" ht="15" customHeight="1" outlineLevel="1">
      <c r="A87" s="4" t="s">
        <v>765</v>
      </c>
      <c r="B87" s="10" t="s">
        <v>726</v>
      </c>
      <c r="C87" s="10" t="s">
        <v>108</v>
      </c>
      <c r="D87" s="10" t="s">
        <v>467</v>
      </c>
      <c r="E87" s="11" t="s">
        <v>766</v>
      </c>
      <c r="F87" s="10" t="s">
        <v>42</v>
      </c>
      <c r="G87" s="10" t="s">
        <v>308</v>
      </c>
      <c r="H87" s="11" t="s">
        <v>726</v>
      </c>
      <c r="I87" s="10" t="s">
        <v>30</v>
      </c>
      <c r="J87" s="12" t="s">
        <v>37</v>
      </c>
      <c r="K87" s="13" t="str">
        <f>IF(J87="Won","✔","")</f>
        <v/>
      </c>
      <c r="L87" s="10" t="s">
        <v>271</v>
      </c>
      <c r="M87" s="14">
        <v>19226</v>
      </c>
      <c r="N87" s="10"/>
      <c r="O87" s="10"/>
      <c r="P87" s="10"/>
      <c r="Q87" s="10" t="s">
        <v>767</v>
      </c>
      <c r="R87" s="10"/>
      <c r="S87" s="12"/>
      <c r="T87" s="14"/>
      <c r="U87" s="14"/>
      <c r="V87" s="10"/>
      <c r="W87" s="10"/>
    </row>
    <row r="88" spans="1:23" ht="15" customHeight="1">
      <c r="A88" s="2"/>
      <c r="B88" s="3" t="s">
        <v>462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" customHeight="1" outlineLevel="1">
      <c r="A89" s="4" t="s">
        <v>768</v>
      </c>
      <c r="B89" s="10" t="s">
        <v>761</v>
      </c>
      <c r="C89" s="10" t="s">
        <v>108</v>
      </c>
      <c r="D89" s="10" t="s">
        <v>769</v>
      </c>
      <c r="E89" s="11" t="s">
        <v>770</v>
      </c>
      <c r="F89" s="10" t="s">
        <v>771</v>
      </c>
      <c r="G89" s="10" t="s">
        <v>35</v>
      </c>
      <c r="H89" s="11" t="s">
        <v>770</v>
      </c>
      <c r="I89" s="10" t="s">
        <v>44</v>
      </c>
      <c r="J89" s="12"/>
      <c r="K89" s="13" t="str">
        <f>IF(J89="Won","✔","")</f>
        <v/>
      </c>
      <c r="L89" s="10"/>
      <c r="M89" s="14">
        <v>95562</v>
      </c>
      <c r="N89" s="10"/>
      <c r="O89" s="10"/>
      <c r="P89" s="10"/>
      <c r="Q89" s="10"/>
      <c r="R89" s="10"/>
      <c r="S89" s="12"/>
      <c r="T89" s="14"/>
      <c r="U89" s="14"/>
      <c r="V89" s="10"/>
      <c r="W89" s="10"/>
    </row>
    <row r="90" spans="1:23" ht="15" customHeight="1" outlineLevel="1">
      <c r="A90" s="4" t="s">
        <v>772</v>
      </c>
      <c r="B90" s="10" t="s">
        <v>770</v>
      </c>
      <c r="C90" s="10" t="s">
        <v>524</v>
      </c>
      <c r="D90" s="10" t="s">
        <v>773</v>
      </c>
      <c r="E90" s="11" t="s">
        <v>774</v>
      </c>
      <c r="F90" s="10" t="s">
        <v>30</v>
      </c>
      <c r="G90" s="10" t="s">
        <v>28</v>
      </c>
      <c r="H90" s="11"/>
      <c r="I90" s="10"/>
      <c r="J90" s="12"/>
      <c r="K90" s="13" t="str">
        <f>IF(J90="Won","✔","")</f>
        <v/>
      </c>
      <c r="L90" s="10"/>
      <c r="M90" s="14"/>
      <c r="N90" s="10"/>
      <c r="O90" s="10"/>
      <c r="P90" s="10"/>
      <c r="Q90" s="10"/>
      <c r="R90" s="10"/>
      <c r="S90" s="12"/>
      <c r="T90" s="14"/>
      <c r="U90" s="14"/>
      <c r="V90" s="10"/>
      <c r="W90" s="10"/>
    </row>
    <row r="91" spans="1:23" ht="15" customHeight="1" outlineLevel="1">
      <c r="A91" s="4" t="s">
        <v>775</v>
      </c>
      <c r="B91" s="10"/>
      <c r="C91" s="10" t="s">
        <v>524</v>
      </c>
      <c r="D91" s="10" t="s">
        <v>776</v>
      </c>
      <c r="E91" s="11" t="s">
        <v>774</v>
      </c>
      <c r="F91" s="10" t="s">
        <v>30</v>
      </c>
      <c r="G91" s="10" t="s">
        <v>28</v>
      </c>
      <c r="H91" s="11"/>
      <c r="I91" s="10"/>
      <c r="J91" s="12"/>
      <c r="K91" s="13" t="str">
        <f>IF(J91="Won","✔","")</f>
        <v/>
      </c>
      <c r="L91" s="10"/>
      <c r="M91" s="14"/>
      <c r="N91" s="10"/>
      <c r="O91" s="10"/>
      <c r="P91" s="10"/>
      <c r="Q91" s="10"/>
      <c r="R91" s="10"/>
      <c r="S91" s="12"/>
      <c r="T91" s="14"/>
      <c r="U91" s="14"/>
      <c r="V91" s="10"/>
      <c r="W91" s="10"/>
    </row>
    <row r="92" spans="1:23" ht="15" customHeight="1" outlineLevel="1">
      <c r="A92" s="4" t="s">
        <v>777</v>
      </c>
      <c r="B92" s="10" t="s">
        <v>751</v>
      </c>
      <c r="C92" s="10" t="s">
        <v>778</v>
      </c>
      <c r="D92" s="10" t="s">
        <v>779</v>
      </c>
      <c r="E92" s="11" t="s">
        <v>780</v>
      </c>
      <c r="F92" s="10" t="s">
        <v>42</v>
      </c>
      <c r="G92" s="10" t="s">
        <v>28</v>
      </c>
      <c r="H92" s="11"/>
      <c r="I92" s="10"/>
      <c r="J92" s="12"/>
      <c r="K92" s="13" t="str">
        <f>IF(J92="Won","✔","")</f>
        <v/>
      </c>
      <c r="L92" s="10"/>
      <c r="M92" s="14"/>
      <c r="N92" s="10"/>
      <c r="O92" s="10"/>
      <c r="P92" s="10"/>
      <c r="Q92" s="10"/>
      <c r="R92" s="10"/>
      <c r="S92" s="12"/>
      <c r="T92" s="14"/>
      <c r="U92" s="14"/>
      <c r="V92" s="10"/>
      <c r="W92" s="10"/>
    </row>
    <row r="93" spans="1:23" ht="15" customHeight="1" outlineLevel="1">
      <c r="A93" s="4" t="s">
        <v>781</v>
      </c>
      <c r="B93" s="10" t="s">
        <v>742</v>
      </c>
      <c r="C93" s="10" t="s">
        <v>282</v>
      </c>
      <c r="D93" s="10" t="s">
        <v>782</v>
      </c>
      <c r="E93" s="11" t="s">
        <v>783</v>
      </c>
      <c r="F93" s="10" t="s">
        <v>206</v>
      </c>
      <c r="G93" s="10"/>
      <c r="H93" s="11"/>
      <c r="I93" s="10" t="s">
        <v>44</v>
      </c>
      <c r="J93" s="12"/>
      <c r="K93" s="13" t="str">
        <f>IF(J93="Won","✔","")</f>
        <v/>
      </c>
      <c r="L93" s="10"/>
      <c r="M93" s="14"/>
      <c r="N93" s="10"/>
      <c r="O93" s="10"/>
      <c r="P93" s="10"/>
      <c r="Q93" s="10"/>
      <c r="R93" s="10"/>
      <c r="S93" s="12"/>
      <c r="T93" s="14"/>
      <c r="U93" s="14"/>
      <c r="V93" s="10"/>
      <c r="W93" s="10"/>
    </row>
    <row r="94" spans="1:23" ht="15" customHeight="1" outlineLevel="1">
      <c r="A94" s="4" t="s">
        <v>784</v>
      </c>
      <c r="B94" s="10" t="s">
        <v>785</v>
      </c>
      <c r="C94" s="10" t="s">
        <v>132</v>
      </c>
      <c r="D94" s="10" t="s">
        <v>786</v>
      </c>
      <c r="E94" s="11" t="s">
        <v>780</v>
      </c>
      <c r="F94" s="10" t="s">
        <v>666</v>
      </c>
      <c r="G94" s="10" t="s">
        <v>35</v>
      </c>
      <c r="H94" s="11" t="s">
        <v>783</v>
      </c>
      <c r="I94" s="10" t="s">
        <v>44</v>
      </c>
      <c r="J94" s="12" t="s">
        <v>37</v>
      </c>
      <c r="K94" s="13" t="str">
        <f>IF(J94="Won","✔","")</f>
        <v/>
      </c>
      <c r="L94" s="10" t="s">
        <v>681</v>
      </c>
      <c r="M94" s="14">
        <v>30356</v>
      </c>
      <c r="N94" s="10"/>
      <c r="O94" s="10"/>
      <c r="P94" s="10"/>
      <c r="Q94" s="10"/>
      <c r="R94" s="10"/>
      <c r="S94" s="12"/>
      <c r="T94" s="14"/>
      <c r="U94" s="14"/>
      <c r="V94" s="10"/>
      <c r="W94" s="10"/>
    </row>
    <row r="95" spans="1:23" ht="15" customHeight="1" outlineLevel="1">
      <c r="A95" s="4" t="s">
        <v>787</v>
      </c>
      <c r="B95" s="10" t="s">
        <v>742</v>
      </c>
      <c r="C95" s="10" t="s">
        <v>788</v>
      </c>
      <c r="D95" s="10" t="s">
        <v>782</v>
      </c>
      <c r="E95" s="11" t="s">
        <v>780</v>
      </c>
      <c r="F95" s="10" t="s">
        <v>206</v>
      </c>
      <c r="G95" s="10"/>
      <c r="H95" s="11"/>
      <c r="I95" s="10" t="s">
        <v>44</v>
      </c>
      <c r="J95" s="12"/>
      <c r="K95" s="13" t="str">
        <f>IF(J95="Won","✔","")</f>
        <v/>
      </c>
      <c r="L95" s="10"/>
      <c r="M95" s="14"/>
      <c r="N95" s="10"/>
      <c r="O95" s="10"/>
      <c r="P95" s="10"/>
      <c r="Q95" s="10"/>
      <c r="R95" s="10"/>
      <c r="S95" s="12"/>
      <c r="T95" s="14"/>
      <c r="U95" s="14"/>
      <c r="V95" s="10"/>
      <c r="W95" s="10"/>
    </row>
    <row r="96" spans="1:23" ht="15" customHeight="1" outlineLevel="1">
      <c r="A96" s="4" t="s">
        <v>789</v>
      </c>
      <c r="B96" s="10" t="s">
        <v>751</v>
      </c>
      <c r="C96" s="10" t="s">
        <v>608</v>
      </c>
      <c r="D96" s="10" t="s">
        <v>609</v>
      </c>
      <c r="E96" s="11" t="s">
        <v>790</v>
      </c>
      <c r="F96" s="10" t="s">
        <v>42</v>
      </c>
      <c r="G96" s="10" t="s">
        <v>308</v>
      </c>
      <c r="H96" s="11"/>
      <c r="I96" s="10" t="s">
        <v>44</v>
      </c>
      <c r="J96" s="12" t="s">
        <v>37</v>
      </c>
      <c r="K96" s="13" t="str">
        <f>IF(J96="Won","✔","")</f>
        <v/>
      </c>
      <c r="L96" s="10" t="s">
        <v>92</v>
      </c>
      <c r="M96" s="14"/>
      <c r="N96" s="10" t="s">
        <v>610</v>
      </c>
      <c r="O96" s="10"/>
      <c r="P96" s="10"/>
      <c r="Q96" s="10"/>
      <c r="R96" s="10"/>
      <c r="S96" s="12"/>
      <c r="T96" s="14"/>
      <c r="U96" s="14"/>
      <c r="V96" s="10"/>
      <c r="W96" s="10"/>
    </row>
    <row r="97" spans="1:23" ht="15" customHeight="1" outlineLevel="1">
      <c r="A97" s="4" t="s">
        <v>791</v>
      </c>
      <c r="B97" s="10" t="s">
        <v>764</v>
      </c>
      <c r="C97" s="10" t="s">
        <v>108</v>
      </c>
      <c r="D97" s="10" t="s">
        <v>792</v>
      </c>
      <c r="E97" s="11" t="s">
        <v>793</v>
      </c>
      <c r="F97" s="10" t="s">
        <v>42</v>
      </c>
      <c r="G97" s="10"/>
      <c r="H97" s="11"/>
      <c r="I97" s="10" t="s">
        <v>44</v>
      </c>
      <c r="J97" s="12"/>
      <c r="K97" s="13" t="str">
        <f>IF(J97="Won","✔","")</f>
        <v/>
      </c>
      <c r="L97" s="10"/>
      <c r="M97" s="14"/>
      <c r="N97" s="10"/>
      <c r="O97" s="10"/>
      <c r="P97" s="10"/>
      <c r="Q97" s="10"/>
      <c r="R97" s="10"/>
      <c r="S97" s="12"/>
      <c r="T97" s="14"/>
      <c r="U97" s="14"/>
      <c r="V97" s="10"/>
      <c r="W97" s="10"/>
    </row>
    <row r="98" spans="1:23" ht="15" customHeight="1" outlineLevel="1">
      <c r="A98" s="4" t="s">
        <v>794</v>
      </c>
      <c r="B98" s="10" t="s">
        <v>766</v>
      </c>
      <c r="C98" s="10" t="s">
        <v>795</v>
      </c>
      <c r="D98" s="10" t="s">
        <v>792</v>
      </c>
      <c r="E98" s="11" t="s">
        <v>796</v>
      </c>
      <c r="F98" s="10" t="s">
        <v>42</v>
      </c>
      <c r="G98" s="10"/>
      <c r="H98" s="11"/>
      <c r="I98" s="10"/>
      <c r="J98" s="12"/>
      <c r="K98" s="13" t="str">
        <f>IF(J98="Won","✔","")</f>
        <v/>
      </c>
      <c r="L98" s="10"/>
      <c r="M98" s="14"/>
      <c r="N98" s="10"/>
      <c r="O98" s="10"/>
      <c r="P98" s="10"/>
      <c r="Q98" s="10"/>
      <c r="R98" s="10"/>
      <c r="S98" s="12"/>
      <c r="T98" s="14"/>
      <c r="U98" s="14"/>
      <c r="V98" s="10"/>
      <c r="W98" s="10"/>
    </row>
    <row r="99" spans="1:23" ht="15" customHeight="1" outlineLevel="1">
      <c r="A99" s="4" t="s">
        <v>797</v>
      </c>
      <c r="B99" s="10" t="s">
        <v>798</v>
      </c>
      <c r="C99" s="10" t="s">
        <v>108</v>
      </c>
      <c r="D99" s="10" t="s">
        <v>799</v>
      </c>
      <c r="E99" s="11" t="s">
        <v>800</v>
      </c>
      <c r="F99" s="10" t="s">
        <v>149</v>
      </c>
      <c r="G99" s="10" t="s">
        <v>35</v>
      </c>
      <c r="H99" s="11"/>
      <c r="I99" s="10"/>
      <c r="J99" s="12"/>
      <c r="K99" s="13" t="str">
        <f>IF(J99="Won","✔","")</f>
        <v/>
      </c>
      <c r="L99" s="10"/>
      <c r="M99" s="14"/>
      <c r="N99" s="10"/>
      <c r="O99" s="10"/>
      <c r="P99" s="10"/>
      <c r="Q99" s="10"/>
      <c r="R99" s="10"/>
      <c r="S99" s="12"/>
      <c r="T99" s="14"/>
      <c r="U99" s="14"/>
      <c r="V99" s="10"/>
      <c r="W99" s="10"/>
    </row>
    <row r="100" spans="1:23" ht="15" customHeight="1" outlineLevel="1">
      <c r="A100" s="4" t="s">
        <v>801</v>
      </c>
      <c r="B100" s="10"/>
      <c r="C100" s="10" t="s">
        <v>524</v>
      </c>
      <c r="D100" s="10" t="s">
        <v>802</v>
      </c>
      <c r="E100" s="11" t="s">
        <v>790</v>
      </c>
      <c r="F100" s="10" t="s">
        <v>42</v>
      </c>
      <c r="G100" s="10"/>
      <c r="H100" s="11"/>
      <c r="I100" s="10"/>
      <c r="J100" s="12"/>
      <c r="K100" s="13" t="str">
        <f>IF(J100="Won","✔","")</f>
        <v/>
      </c>
      <c r="L100" s="10"/>
      <c r="M100" s="14"/>
      <c r="N100" s="10"/>
      <c r="O100" s="10"/>
      <c r="P100" s="10"/>
      <c r="Q100" s="10"/>
      <c r="R100" s="10"/>
      <c r="S100" s="12"/>
      <c r="T100" s="14"/>
      <c r="U100" s="14"/>
      <c r="V100" s="10"/>
      <c r="W100" s="10"/>
    </row>
    <row r="101" spans="1:23" ht="15" customHeight="1" outlineLevel="1">
      <c r="A101" s="4" t="s">
        <v>803</v>
      </c>
      <c r="B101" s="10" t="s">
        <v>669</v>
      </c>
      <c r="C101" s="10" t="s">
        <v>53</v>
      </c>
      <c r="D101" s="10" t="s">
        <v>720</v>
      </c>
      <c r="E101" s="11" t="s">
        <v>804</v>
      </c>
      <c r="F101" s="10" t="s">
        <v>42</v>
      </c>
      <c r="G101" s="10" t="s">
        <v>28</v>
      </c>
      <c r="H101" s="11" t="s">
        <v>721</v>
      </c>
      <c r="I101" s="10" t="s">
        <v>144</v>
      </c>
      <c r="J101" s="12" t="s">
        <v>37</v>
      </c>
      <c r="K101" s="13" t="str">
        <f>IF(J101="Won","✔","")</f>
        <v/>
      </c>
      <c r="L101" s="10" t="s">
        <v>150</v>
      </c>
      <c r="M101" s="14">
        <v>31423</v>
      </c>
      <c r="N101" s="10"/>
      <c r="O101" s="10"/>
      <c r="P101" s="10"/>
      <c r="Q101" s="10"/>
      <c r="R101" s="10"/>
      <c r="S101" s="12"/>
      <c r="T101" s="14"/>
      <c r="U101" s="14"/>
      <c r="V101" s="10"/>
      <c r="W101" s="10"/>
    </row>
    <row r="102" spans="1:23" ht="15" customHeight="1" outlineLevel="1">
      <c r="A102" s="4" t="s">
        <v>805</v>
      </c>
      <c r="B102" s="10" t="s">
        <v>798</v>
      </c>
      <c r="C102" s="10" t="s">
        <v>806</v>
      </c>
      <c r="D102" s="10" t="s">
        <v>807</v>
      </c>
      <c r="E102" s="11" t="s">
        <v>796</v>
      </c>
      <c r="F102" s="10" t="s">
        <v>27</v>
      </c>
      <c r="G102" s="10" t="s">
        <v>28</v>
      </c>
      <c r="H102" s="11"/>
      <c r="I102" s="10" t="s">
        <v>30</v>
      </c>
      <c r="J102" s="12"/>
      <c r="K102" s="13" t="str">
        <f>IF(J102="Won","✔","")</f>
        <v/>
      </c>
      <c r="L102" s="10"/>
      <c r="M102" s="14"/>
      <c r="N102" s="10"/>
      <c r="O102" s="10"/>
      <c r="P102" s="10"/>
      <c r="Q102" s="10"/>
      <c r="R102" s="10"/>
      <c r="S102" s="12"/>
      <c r="T102" s="14"/>
      <c r="U102" s="14"/>
      <c r="V102" s="10"/>
      <c r="W102" s="10"/>
    </row>
    <row r="103" spans="1:23" ht="15" customHeight="1" outlineLevel="1">
      <c r="A103" s="4" t="s">
        <v>808</v>
      </c>
      <c r="B103" s="10" t="s">
        <v>809</v>
      </c>
      <c r="C103" s="10" t="s">
        <v>53</v>
      </c>
      <c r="D103" s="10" t="s">
        <v>810</v>
      </c>
      <c r="E103" s="11" t="s">
        <v>811</v>
      </c>
      <c r="F103" s="10"/>
      <c r="G103" s="10"/>
      <c r="H103" s="11"/>
      <c r="I103" s="10"/>
      <c r="J103" s="12"/>
      <c r="K103" s="13" t="str">
        <f>IF(J103="Won","✔","")</f>
        <v/>
      </c>
      <c r="L103" s="10"/>
      <c r="M103" s="14"/>
      <c r="N103" s="10"/>
      <c r="O103" s="10"/>
      <c r="P103" s="10"/>
      <c r="Q103" s="10"/>
      <c r="R103" s="10"/>
      <c r="S103" s="12"/>
      <c r="T103" s="14"/>
      <c r="U103" s="14"/>
      <c r="V103" s="10"/>
      <c r="W103" s="10"/>
    </row>
    <row r="104" spans="1:23" ht="15" customHeight="1" outlineLevel="1">
      <c r="A104" s="4" t="s">
        <v>812</v>
      </c>
      <c r="B104" s="10" t="s">
        <v>809</v>
      </c>
      <c r="C104" s="10" t="s">
        <v>108</v>
      </c>
      <c r="D104" s="10" t="s">
        <v>542</v>
      </c>
      <c r="E104" s="11" t="s">
        <v>813</v>
      </c>
      <c r="F104" s="10" t="s">
        <v>27</v>
      </c>
      <c r="G104" s="10" t="s">
        <v>35</v>
      </c>
      <c r="H104" s="11" t="s">
        <v>543</v>
      </c>
      <c r="I104" s="10"/>
      <c r="J104" s="12"/>
      <c r="K104" s="13" t="str">
        <f>IF(J104="Won","✔","")</f>
        <v/>
      </c>
      <c r="L104" s="10"/>
      <c r="M104" s="14">
        <v>54168</v>
      </c>
      <c r="N104" s="10" t="s">
        <v>814</v>
      </c>
      <c r="O104" s="10"/>
      <c r="P104" s="10"/>
      <c r="Q104" s="10"/>
      <c r="R104" s="10"/>
      <c r="S104" s="12"/>
      <c r="T104" s="14"/>
      <c r="U104" s="14"/>
      <c r="V104" s="10"/>
      <c r="W104" s="10"/>
    </row>
    <row r="105" spans="1:23" ht="15" customHeight="1" outlineLevel="1">
      <c r="A105" s="4" t="s">
        <v>815</v>
      </c>
      <c r="B105" s="10" t="s">
        <v>804</v>
      </c>
      <c r="C105" s="10" t="s">
        <v>25</v>
      </c>
      <c r="D105" s="10" t="s">
        <v>816</v>
      </c>
      <c r="E105" s="11" t="s">
        <v>510</v>
      </c>
      <c r="F105" s="10" t="s">
        <v>149</v>
      </c>
      <c r="G105" s="10" t="s">
        <v>35</v>
      </c>
      <c r="H105" s="11"/>
      <c r="I105" s="10"/>
      <c r="J105" s="12"/>
      <c r="K105" s="13" t="str">
        <f>IF(J105="Won","✔","")</f>
        <v/>
      </c>
      <c r="L105" s="10"/>
      <c r="M105" s="14"/>
      <c r="N105" s="10"/>
      <c r="O105" s="10"/>
      <c r="P105" s="10"/>
      <c r="Q105" s="10"/>
      <c r="R105" s="10"/>
      <c r="S105" s="12"/>
      <c r="T105" s="14"/>
      <c r="U105" s="14"/>
      <c r="V105" s="10"/>
      <c r="W105" s="10"/>
    </row>
    <row r="106" spans="1:23" ht="15" customHeight="1">
      <c r="A106" s="2"/>
      <c r="B106" s="3" t="s">
        <v>817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" customHeight="1" outlineLevel="1">
      <c r="A107" s="4" t="s">
        <v>818</v>
      </c>
      <c r="B107" s="5" t="s">
        <v>819</v>
      </c>
      <c r="C107" s="5" t="s">
        <v>820</v>
      </c>
      <c r="D107" s="5" t="s">
        <v>821</v>
      </c>
      <c r="E107" s="6" t="s">
        <v>819</v>
      </c>
      <c r="F107" s="5" t="s">
        <v>30</v>
      </c>
      <c r="G107" s="5" t="s">
        <v>28</v>
      </c>
      <c r="H107" s="6" t="s">
        <v>819</v>
      </c>
      <c r="I107" s="5" t="s">
        <v>30</v>
      </c>
      <c r="J107" s="7" t="s">
        <v>31</v>
      </c>
      <c r="K107" s="7" t="str">
        <f>IF(J107="Won","✔","")</f>
        <v>✔</v>
      </c>
      <c r="L107" s="5" t="s">
        <v>51</v>
      </c>
      <c r="M107" s="8">
        <v>3425</v>
      </c>
      <c r="N107" s="5"/>
      <c r="O107" s="5"/>
      <c r="P107" s="5"/>
      <c r="Q107" s="5"/>
      <c r="R107" s="5"/>
      <c r="S107" s="9"/>
      <c r="T107" s="8"/>
      <c r="U107" s="8"/>
      <c r="V107" s="5"/>
      <c r="W107" s="5"/>
    </row>
    <row r="108" spans="1:23" ht="15" customHeight="1" outlineLevel="1">
      <c r="A108" s="4" t="s">
        <v>822</v>
      </c>
      <c r="B108" s="10" t="s">
        <v>819</v>
      </c>
      <c r="C108" s="10" t="s">
        <v>49</v>
      </c>
      <c r="D108" s="10" t="s">
        <v>823</v>
      </c>
      <c r="E108" s="11" t="s">
        <v>819</v>
      </c>
      <c r="F108" s="10" t="s">
        <v>30</v>
      </c>
      <c r="G108" s="10" t="s">
        <v>28</v>
      </c>
      <c r="H108" s="11" t="s">
        <v>819</v>
      </c>
      <c r="I108" s="10" t="s">
        <v>30</v>
      </c>
      <c r="J108" s="12" t="s">
        <v>37</v>
      </c>
      <c r="K108" s="13" t="str">
        <f>IF(J108="Won","✔","")</f>
        <v/>
      </c>
      <c r="L108" s="10" t="s">
        <v>51</v>
      </c>
      <c r="M108" s="14">
        <v>9337</v>
      </c>
      <c r="N108" s="10"/>
      <c r="O108" s="10"/>
      <c r="P108" s="10"/>
      <c r="Q108" s="10"/>
      <c r="R108" s="10"/>
      <c r="S108" s="12"/>
      <c r="T108" s="14"/>
      <c r="U108" s="14"/>
      <c r="V108" s="10"/>
      <c r="W108" s="10"/>
    </row>
    <row r="109" spans="1:23" ht="15" customHeight="1" outlineLevel="1">
      <c r="A109" s="4" t="s">
        <v>824</v>
      </c>
      <c r="B109" s="10" t="s">
        <v>825</v>
      </c>
      <c r="C109" s="10" t="s">
        <v>53</v>
      </c>
      <c r="D109" s="10" t="s">
        <v>826</v>
      </c>
      <c r="E109" s="11" t="s">
        <v>819</v>
      </c>
      <c r="F109" s="10" t="s">
        <v>771</v>
      </c>
      <c r="G109" s="10" t="s">
        <v>35</v>
      </c>
      <c r="H109" s="11" t="s">
        <v>827</v>
      </c>
      <c r="I109" s="10" t="s">
        <v>30</v>
      </c>
      <c r="J109" s="12" t="s">
        <v>37</v>
      </c>
      <c r="K109" s="13" t="str">
        <f>IF(J109="Won","✔","")</f>
        <v/>
      </c>
      <c r="L109" s="10" t="s">
        <v>51</v>
      </c>
      <c r="M109" s="14">
        <v>56788</v>
      </c>
      <c r="N109" s="10" t="s">
        <v>828</v>
      </c>
      <c r="O109" s="10"/>
      <c r="P109" s="10"/>
      <c r="Q109" s="10"/>
      <c r="R109" s="10"/>
      <c r="S109" s="12"/>
      <c r="T109" s="14"/>
      <c r="U109" s="14"/>
      <c r="V109" s="10"/>
      <c r="W109" s="10"/>
    </row>
    <row r="110" spans="1:23" ht="15" customHeight="1" outlineLevel="1">
      <c r="A110" s="4" t="s">
        <v>829</v>
      </c>
      <c r="B110" s="10" t="s">
        <v>825</v>
      </c>
      <c r="C110" s="10" t="s">
        <v>108</v>
      </c>
      <c r="D110" s="10" t="s">
        <v>830</v>
      </c>
      <c r="E110" s="11" t="s">
        <v>831</v>
      </c>
      <c r="F110" s="10" t="s">
        <v>163</v>
      </c>
      <c r="G110" s="10" t="s">
        <v>35</v>
      </c>
      <c r="H110" s="11" t="s">
        <v>825</v>
      </c>
      <c r="I110" s="10" t="s">
        <v>30</v>
      </c>
      <c r="J110" s="12" t="s">
        <v>37</v>
      </c>
      <c r="K110" s="13" t="str">
        <f>IF(J110="Won","✔","")</f>
        <v/>
      </c>
      <c r="L110" s="10" t="s">
        <v>51</v>
      </c>
      <c r="M110" s="14">
        <v>9479</v>
      </c>
      <c r="N110" s="10"/>
      <c r="O110" s="10"/>
      <c r="P110" s="10"/>
      <c r="Q110" s="10"/>
      <c r="R110" s="10"/>
      <c r="S110" s="12"/>
      <c r="T110" s="14"/>
      <c r="U110" s="14"/>
      <c r="V110" s="10"/>
      <c r="W110" s="10"/>
    </row>
    <row r="111" spans="1:23" ht="15" customHeight="1" outlineLevel="1">
      <c r="A111" s="4" t="s">
        <v>832</v>
      </c>
      <c r="B111" s="10" t="s">
        <v>825</v>
      </c>
      <c r="C111" s="10" t="s">
        <v>263</v>
      </c>
      <c r="D111" s="10" t="s">
        <v>833</v>
      </c>
      <c r="E111" s="11" t="s">
        <v>834</v>
      </c>
      <c r="F111" s="10"/>
      <c r="G111" s="10"/>
      <c r="H111" s="11"/>
      <c r="I111" s="10"/>
      <c r="J111" s="12"/>
      <c r="K111" s="13" t="str">
        <f>IF(J111="Won","✔","")</f>
        <v/>
      </c>
      <c r="L111" s="10"/>
      <c r="M111" s="14"/>
      <c r="N111" s="10"/>
      <c r="O111" s="10"/>
      <c r="P111" s="10"/>
      <c r="Q111" s="10"/>
      <c r="R111" s="10"/>
      <c r="S111" s="12"/>
      <c r="T111" s="14"/>
      <c r="U111" s="14"/>
      <c r="V111" s="10"/>
      <c r="W111" s="10"/>
    </row>
    <row r="112" spans="1:23" ht="15" customHeight="1" outlineLevel="1">
      <c r="A112" s="4" t="s">
        <v>835</v>
      </c>
      <c r="B112" s="5" t="s">
        <v>825</v>
      </c>
      <c r="C112" s="5" t="s">
        <v>108</v>
      </c>
      <c r="D112" s="5" t="s">
        <v>836</v>
      </c>
      <c r="E112" s="6" t="s">
        <v>834</v>
      </c>
      <c r="F112" s="5" t="s">
        <v>30</v>
      </c>
      <c r="G112" s="5" t="s">
        <v>28</v>
      </c>
      <c r="H112" s="6"/>
      <c r="I112" s="5" t="s">
        <v>30</v>
      </c>
      <c r="J112" s="7" t="s">
        <v>31</v>
      </c>
      <c r="K112" s="7" t="str">
        <f>IF(J112="Won","✔","")</f>
        <v>✔</v>
      </c>
      <c r="L112" s="5"/>
      <c r="M112" s="8">
        <v>31852</v>
      </c>
      <c r="N112" s="5"/>
      <c r="O112" s="5"/>
      <c r="P112" s="5"/>
      <c r="Q112" s="5"/>
      <c r="R112" s="5"/>
      <c r="S112" s="9"/>
      <c r="T112" s="8"/>
      <c r="U112" s="8"/>
      <c r="V112" s="5"/>
      <c r="W112" s="5"/>
    </row>
    <row r="113" spans="1:23" ht="15" customHeight="1" outlineLevel="1">
      <c r="A113" s="4" t="s">
        <v>837</v>
      </c>
      <c r="B113" s="10" t="s">
        <v>825</v>
      </c>
      <c r="C113" s="10" t="s">
        <v>838</v>
      </c>
      <c r="D113" s="10" t="s">
        <v>839</v>
      </c>
      <c r="E113" s="11" t="s">
        <v>840</v>
      </c>
      <c r="F113" s="10" t="s">
        <v>42</v>
      </c>
      <c r="G113" s="10" t="s">
        <v>28</v>
      </c>
      <c r="H113" s="11"/>
      <c r="I113" s="10"/>
      <c r="J113" s="12"/>
      <c r="K113" s="13" t="str">
        <f>IF(J113="Won","✔","")</f>
        <v/>
      </c>
      <c r="L113" s="10"/>
      <c r="M113" s="14"/>
      <c r="N113" s="10"/>
      <c r="O113" s="10"/>
      <c r="P113" s="10"/>
      <c r="Q113" s="10"/>
      <c r="R113" s="10"/>
      <c r="S113" s="12"/>
      <c r="T113" s="14"/>
      <c r="U113" s="14"/>
      <c r="V113" s="10"/>
      <c r="W113" s="10"/>
    </row>
    <row r="114" spans="1:23" ht="15" customHeight="1" outlineLevel="1">
      <c r="A114" s="4" t="s">
        <v>841</v>
      </c>
      <c r="B114" s="10" t="s">
        <v>825</v>
      </c>
      <c r="C114" s="10" t="s">
        <v>108</v>
      </c>
      <c r="D114" s="10" t="s">
        <v>842</v>
      </c>
      <c r="E114" s="11" t="s">
        <v>843</v>
      </c>
      <c r="F114" s="10" t="s">
        <v>27</v>
      </c>
      <c r="G114" s="10" t="s">
        <v>28</v>
      </c>
      <c r="H114" s="11"/>
      <c r="I114" s="10"/>
      <c r="J114" s="12" t="s">
        <v>37</v>
      </c>
      <c r="K114" s="13" t="str">
        <f>IF(J114="Won","✔","")</f>
        <v/>
      </c>
      <c r="L114" s="10" t="s">
        <v>86</v>
      </c>
      <c r="M114" s="14">
        <v>529510</v>
      </c>
      <c r="N114" s="10"/>
      <c r="O114" s="10"/>
      <c r="P114" s="10"/>
      <c r="Q114" s="10"/>
      <c r="R114" s="10"/>
      <c r="S114" s="12"/>
      <c r="T114" s="14"/>
      <c r="U114" s="14"/>
      <c r="V114" s="10"/>
      <c r="W114" s="10"/>
    </row>
    <row r="115" spans="1:23" ht="15" customHeight="1" outlineLevel="1">
      <c r="A115" s="4" t="s">
        <v>844</v>
      </c>
      <c r="B115" s="10" t="s">
        <v>834</v>
      </c>
      <c r="C115" s="10" t="s">
        <v>129</v>
      </c>
      <c r="D115" s="10" t="s">
        <v>845</v>
      </c>
      <c r="E115" s="11" t="s">
        <v>846</v>
      </c>
      <c r="F115" s="10"/>
      <c r="G115" s="10"/>
      <c r="H115" s="11"/>
      <c r="I115" s="10"/>
      <c r="J115" s="12"/>
      <c r="K115" s="13" t="str">
        <f>IF(J115="Won","✔","")</f>
        <v/>
      </c>
      <c r="L115" s="10"/>
      <c r="M115" s="14"/>
      <c r="N115" s="10"/>
      <c r="O115" s="10"/>
      <c r="P115" s="10"/>
      <c r="Q115" s="10"/>
      <c r="R115" s="10"/>
      <c r="S115" s="12"/>
      <c r="T115" s="14"/>
      <c r="U115" s="14"/>
      <c r="V115" s="10"/>
      <c r="W115" s="10"/>
    </row>
    <row r="116" spans="1:23" ht="15" customHeight="1" outlineLevel="1">
      <c r="A116" s="4" t="s">
        <v>847</v>
      </c>
      <c r="B116" s="10" t="s">
        <v>834</v>
      </c>
      <c r="C116" s="10" t="s">
        <v>64</v>
      </c>
      <c r="D116" s="10" t="s">
        <v>848</v>
      </c>
      <c r="E116" s="11" t="s">
        <v>834</v>
      </c>
      <c r="F116" s="10" t="s">
        <v>30</v>
      </c>
      <c r="G116" s="10" t="s">
        <v>28</v>
      </c>
      <c r="H116" s="11" t="s">
        <v>849</v>
      </c>
      <c r="I116" s="10" t="s">
        <v>30</v>
      </c>
      <c r="J116" s="12" t="s">
        <v>37</v>
      </c>
      <c r="K116" s="13" t="str">
        <f>IF(J116="Won","✔","")</f>
        <v/>
      </c>
      <c r="L116" s="10" t="s">
        <v>51</v>
      </c>
      <c r="M116" s="14">
        <v>17046</v>
      </c>
      <c r="N116" s="10"/>
      <c r="O116" s="10"/>
      <c r="P116" s="10"/>
      <c r="Q116" s="10"/>
      <c r="R116" s="10"/>
      <c r="S116" s="12"/>
      <c r="T116" s="14"/>
      <c r="U116" s="14"/>
      <c r="V116" s="10"/>
      <c r="W116" s="10"/>
    </row>
    <row r="117" spans="1:23" ht="15" customHeight="1" outlineLevel="1">
      <c r="A117" s="4" t="s">
        <v>850</v>
      </c>
      <c r="B117" s="10" t="s">
        <v>851</v>
      </c>
      <c r="C117" s="10" t="s">
        <v>608</v>
      </c>
      <c r="D117" s="10" t="s">
        <v>852</v>
      </c>
      <c r="E117" s="11" t="s">
        <v>853</v>
      </c>
      <c r="F117" s="10" t="s">
        <v>30</v>
      </c>
      <c r="G117" s="10" t="s">
        <v>28</v>
      </c>
      <c r="H117" s="11" t="s">
        <v>851</v>
      </c>
      <c r="I117" s="10" t="s">
        <v>30</v>
      </c>
      <c r="J117" s="12" t="s">
        <v>37</v>
      </c>
      <c r="K117" s="13" t="str">
        <f>IF(J117="Won","✔","")</f>
        <v/>
      </c>
      <c r="L117" s="10" t="s">
        <v>51</v>
      </c>
      <c r="M117" s="14">
        <v>2659</v>
      </c>
      <c r="N117" s="10"/>
      <c r="O117" s="10"/>
      <c r="P117" s="10"/>
      <c r="Q117" s="10"/>
      <c r="R117" s="10"/>
      <c r="S117" s="12"/>
      <c r="T117" s="14"/>
      <c r="U117" s="14"/>
      <c r="V117" s="10"/>
      <c r="W117" s="10"/>
    </row>
    <row r="118" spans="1:23" ht="15" customHeight="1" outlineLevel="1">
      <c r="A118" s="4" t="s">
        <v>854</v>
      </c>
      <c r="B118" s="10" t="s">
        <v>851</v>
      </c>
      <c r="C118" s="10" t="s">
        <v>53</v>
      </c>
      <c r="D118" s="10" t="s">
        <v>855</v>
      </c>
      <c r="E118" s="11" t="s">
        <v>856</v>
      </c>
      <c r="F118" s="10" t="s">
        <v>149</v>
      </c>
      <c r="G118" s="10" t="s">
        <v>35</v>
      </c>
      <c r="H118" s="11" t="s">
        <v>857</v>
      </c>
      <c r="I118" s="10" t="s">
        <v>30</v>
      </c>
      <c r="J118" s="12" t="s">
        <v>37</v>
      </c>
      <c r="K118" s="13" t="str">
        <f>IF(J118="Won","✔","")</f>
        <v/>
      </c>
      <c r="L118" s="10" t="s">
        <v>51</v>
      </c>
      <c r="M118" s="14">
        <v>138686</v>
      </c>
      <c r="N118" s="10"/>
      <c r="O118" s="10"/>
      <c r="P118" s="10"/>
      <c r="Q118" s="10" t="s">
        <v>858</v>
      </c>
      <c r="R118" s="10"/>
      <c r="S118" s="12"/>
      <c r="T118" s="14"/>
      <c r="U118" s="14"/>
      <c r="V118" s="10"/>
      <c r="W118" s="10"/>
    </row>
    <row r="119" spans="1:23" ht="15" customHeight="1" outlineLevel="1">
      <c r="A119" s="4" t="s">
        <v>859</v>
      </c>
      <c r="B119" s="10" t="s">
        <v>831</v>
      </c>
      <c r="C119" s="10" t="s">
        <v>860</v>
      </c>
      <c r="D119" s="10" t="s">
        <v>861</v>
      </c>
      <c r="E119" s="11" t="s">
        <v>840</v>
      </c>
      <c r="F119" s="10" t="s">
        <v>42</v>
      </c>
      <c r="G119" s="10"/>
      <c r="H119" s="11"/>
      <c r="I119" s="10"/>
      <c r="J119" s="12"/>
      <c r="K119" s="13" t="str">
        <f>IF(J119="Won","✔","")</f>
        <v/>
      </c>
      <c r="L119" s="10"/>
      <c r="M119" s="14"/>
      <c r="N119" s="10"/>
      <c r="O119" s="10"/>
      <c r="P119" s="10"/>
      <c r="Q119" s="10"/>
      <c r="R119" s="10"/>
      <c r="S119" s="12"/>
      <c r="T119" s="14"/>
      <c r="U119" s="14"/>
      <c r="V119" s="10"/>
      <c r="W119" s="10"/>
    </row>
    <row r="120" spans="1:23" ht="15" customHeight="1" outlineLevel="1">
      <c r="A120" s="4" t="s">
        <v>862</v>
      </c>
      <c r="B120" s="10" t="s">
        <v>853</v>
      </c>
      <c r="C120" s="10" t="s">
        <v>282</v>
      </c>
      <c r="D120" s="10" t="s">
        <v>863</v>
      </c>
      <c r="E120" s="11" t="s">
        <v>857</v>
      </c>
      <c r="F120" s="10"/>
      <c r="G120" s="10"/>
      <c r="H120" s="11"/>
      <c r="I120" s="10" t="s">
        <v>44</v>
      </c>
      <c r="J120" s="12"/>
      <c r="K120" s="13" t="str">
        <f>IF(J120="Won","✔","")</f>
        <v/>
      </c>
      <c r="L120" s="10"/>
      <c r="M120" s="14"/>
      <c r="N120" s="10"/>
      <c r="O120" s="10"/>
      <c r="P120" s="10"/>
      <c r="Q120" s="10"/>
      <c r="R120" s="10"/>
      <c r="S120" s="12"/>
      <c r="T120" s="14"/>
      <c r="U120" s="14"/>
      <c r="V120" s="10"/>
      <c r="W120" s="10"/>
    </row>
    <row r="121" spans="1:23" ht="15" customHeight="1" outlineLevel="1">
      <c r="A121" s="4" t="s">
        <v>864</v>
      </c>
      <c r="B121" s="10" t="s">
        <v>853</v>
      </c>
      <c r="C121" s="10" t="s">
        <v>865</v>
      </c>
      <c r="D121" s="10" t="s">
        <v>863</v>
      </c>
      <c r="E121" s="11" t="s">
        <v>866</v>
      </c>
      <c r="F121" s="10"/>
      <c r="G121" s="10"/>
      <c r="H121" s="11"/>
      <c r="I121" s="10"/>
      <c r="J121" s="12"/>
      <c r="K121" s="13" t="str">
        <f>IF(J121="Won","✔","")</f>
        <v/>
      </c>
      <c r="L121" s="10"/>
      <c r="M121" s="14"/>
      <c r="N121" s="10"/>
      <c r="O121" s="10"/>
      <c r="P121" s="10"/>
      <c r="Q121" s="10"/>
      <c r="R121" s="10"/>
      <c r="S121" s="12"/>
      <c r="T121" s="14"/>
      <c r="U121" s="14"/>
      <c r="V121" s="10"/>
      <c r="W121" s="10"/>
    </row>
    <row r="122" spans="1:23" ht="15" customHeight="1" outlineLevel="1">
      <c r="A122" s="4" t="s">
        <v>867</v>
      </c>
      <c r="B122" s="10" t="s">
        <v>853</v>
      </c>
      <c r="C122" s="10" t="s">
        <v>129</v>
      </c>
      <c r="D122" s="10" t="s">
        <v>863</v>
      </c>
      <c r="E122" s="11" t="s">
        <v>868</v>
      </c>
      <c r="F122" s="10"/>
      <c r="G122" s="10"/>
      <c r="H122" s="11"/>
      <c r="I122" s="10"/>
      <c r="J122" s="12"/>
      <c r="K122" s="13" t="str">
        <f>IF(J122="Won","✔","")</f>
        <v/>
      </c>
      <c r="L122" s="10"/>
      <c r="M122" s="14"/>
      <c r="N122" s="10"/>
      <c r="O122" s="10"/>
      <c r="P122" s="10"/>
      <c r="Q122" s="10"/>
      <c r="R122" s="10"/>
      <c r="S122" s="12"/>
      <c r="T122" s="14"/>
      <c r="U122" s="14"/>
      <c r="V122" s="10"/>
      <c r="W122" s="10"/>
    </row>
    <row r="123" spans="1:23" ht="15" customHeight="1" outlineLevel="1">
      <c r="A123" s="4" t="s">
        <v>869</v>
      </c>
      <c r="B123" s="10" t="s">
        <v>843</v>
      </c>
      <c r="C123" s="10" t="s">
        <v>53</v>
      </c>
      <c r="D123" s="10" t="s">
        <v>870</v>
      </c>
      <c r="E123" s="11" t="s">
        <v>857</v>
      </c>
      <c r="F123" s="10"/>
      <c r="G123" s="10"/>
      <c r="H123" s="11"/>
      <c r="I123" s="10"/>
      <c r="J123" s="12"/>
      <c r="K123" s="13" t="str">
        <f>IF(J123="Won","✔","")</f>
        <v/>
      </c>
      <c r="L123" s="10"/>
      <c r="M123" s="14"/>
      <c r="N123" s="10"/>
      <c r="O123" s="10"/>
      <c r="P123" s="10"/>
      <c r="Q123" s="10"/>
      <c r="R123" s="10"/>
      <c r="S123" s="12"/>
      <c r="T123" s="14"/>
      <c r="U123" s="14"/>
      <c r="V123" s="10"/>
      <c r="W123" s="10"/>
    </row>
    <row r="124" spans="1:23" ht="15" customHeight="1" outlineLevel="1">
      <c r="A124" s="4" t="s">
        <v>871</v>
      </c>
      <c r="B124" s="5" t="s">
        <v>843</v>
      </c>
      <c r="C124" s="5" t="s">
        <v>102</v>
      </c>
      <c r="D124" s="5" t="s">
        <v>872</v>
      </c>
      <c r="E124" s="6"/>
      <c r="F124" s="5" t="s">
        <v>30</v>
      </c>
      <c r="G124" s="5" t="s">
        <v>28</v>
      </c>
      <c r="H124" s="6"/>
      <c r="I124" s="5"/>
      <c r="J124" s="7" t="s">
        <v>31</v>
      </c>
      <c r="K124" s="7" t="str">
        <f>IF(J124="Won","✔","")</f>
        <v>✔</v>
      </c>
      <c r="L124" s="5"/>
      <c r="M124" s="8">
        <v>6977</v>
      </c>
      <c r="N124" s="5"/>
      <c r="O124" s="5"/>
      <c r="P124" s="5"/>
      <c r="Q124" s="5"/>
      <c r="R124" s="5"/>
      <c r="S124" s="9"/>
      <c r="T124" s="8"/>
      <c r="U124" s="8"/>
      <c r="V124" s="5"/>
      <c r="W124" s="5"/>
    </row>
    <row r="125" spans="1:23" ht="15" customHeight="1" outlineLevel="1">
      <c r="A125" s="4" t="s">
        <v>873</v>
      </c>
      <c r="B125" s="5" t="s">
        <v>843</v>
      </c>
      <c r="C125" s="5" t="s">
        <v>53</v>
      </c>
      <c r="D125" s="5" t="s">
        <v>874</v>
      </c>
      <c r="E125" s="6"/>
      <c r="F125" s="5" t="s">
        <v>30</v>
      </c>
      <c r="G125" s="5" t="s">
        <v>28</v>
      </c>
      <c r="H125" s="6"/>
      <c r="I125" s="5"/>
      <c r="J125" s="7" t="s">
        <v>31</v>
      </c>
      <c r="K125" s="7" t="str">
        <f>IF(J125="Won","✔","")</f>
        <v>✔</v>
      </c>
      <c r="L125" s="5"/>
      <c r="M125" s="8">
        <v>19264</v>
      </c>
      <c r="N125" s="5"/>
      <c r="O125" s="5"/>
      <c r="P125" s="5"/>
      <c r="Q125" s="5"/>
      <c r="R125" s="5"/>
      <c r="S125" s="9"/>
      <c r="T125" s="8"/>
      <c r="U125" s="8"/>
      <c r="V125" s="5"/>
      <c r="W125" s="5"/>
    </row>
    <row r="126" spans="1:23" ht="15" customHeight="1" outlineLevel="1">
      <c r="A126" s="4" t="s">
        <v>875</v>
      </c>
      <c r="B126" s="5" t="s">
        <v>843</v>
      </c>
      <c r="C126" s="5" t="s">
        <v>876</v>
      </c>
      <c r="D126" s="5" t="s">
        <v>877</v>
      </c>
      <c r="E126" s="6" t="s">
        <v>878</v>
      </c>
      <c r="F126" s="5" t="s">
        <v>42</v>
      </c>
      <c r="G126" s="5" t="s">
        <v>585</v>
      </c>
      <c r="H126" s="6" t="s">
        <v>879</v>
      </c>
      <c r="I126" s="5" t="s">
        <v>30</v>
      </c>
      <c r="J126" s="7" t="s">
        <v>31</v>
      </c>
      <c r="K126" s="7" t="str">
        <f>IF(J126="Won","✔","")</f>
        <v>✔</v>
      </c>
      <c r="L126" s="5" t="s">
        <v>413</v>
      </c>
      <c r="M126" s="8">
        <v>62757</v>
      </c>
      <c r="N126" s="5"/>
      <c r="O126" s="5"/>
      <c r="P126" s="5"/>
      <c r="Q126" s="5"/>
      <c r="R126" s="5"/>
      <c r="S126" s="9"/>
      <c r="T126" s="8"/>
      <c r="U126" s="8"/>
      <c r="V126" s="5"/>
      <c r="W126" s="5"/>
    </row>
    <row r="127" spans="1:23" ht="15" customHeight="1" outlineLevel="1">
      <c r="A127" s="4" t="s">
        <v>880</v>
      </c>
      <c r="B127" s="15" t="s">
        <v>825</v>
      </c>
      <c r="C127" s="15" t="s">
        <v>53</v>
      </c>
      <c r="D127" s="15" t="s">
        <v>881</v>
      </c>
      <c r="E127" s="16" t="s">
        <v>868</v>
      </c>
      <c r="F127" s="15" t="s">
        <v>163</v>
      </c>
      <c r="G127" s="15" t="s">
        <v>35</v>
      </c>
      <c r="H127" s="16" t="s">
        <v>868</v>
      </c>
      <c r="I127" s="15" t="s">
        <v>30</v>
      </c>
      <c r="J127" s="17" t="s">
        <v>145</v>
      </c>
      <c r="K127" s="18" t="str">
        <f>IF(J127="Won","✔","")</f>
        <v/>
      </c>
      <c r="L127" s="15" t="s">
        <v>51</v>
      </c>
      <c r="M127" s="19">
        <v>313858</v>
      </c>
      <c r="N127" s="15"/>
      <c r="O127" s="15"/>
      <c r="P127" s="15"/>
      <c r="Q127" s="15"/>
      <c r="R127" s="15"/>
      <c r="S127" s="17"/>
      <c r="T127" s="19"/>
      <c r="U127" s="19"/>
      <c r="V127" s="15"/>
      <c r="W127" s="15"/>
    </row>
    <row r="128" spans="1:23" ht="15" customHeight="1" outlineLevel="1">
      <c r="A128" s="4" t="s">
        <v>882</v>
      </c>
      <c r="B128" s="10" t="s">
        <v>866</v>
      </c>
      <c r="C128" s="10" t="s">
        <v>53</v>
      </c>
      <c r="D128" s="10" t="s">
        <v>883</v>
      </c>
      <c r="E128" s="11" t="s">
        <v>884</v>
      </c>
      <c r="F128" s="10" t="s">
        <v>30</v>
      </c>
      <c r="G128" s="10" t="s">
        <v>35</v>
      </c>
      <c r="H128" s="11" t="s">
        <v>885</v>
      </c>
      <c r="I128" s="10" t="s">
        <v>30</v>
      </c>
      <c r="J128" s="12" t="s">
        <v>37</v>
      </c>
      <c r="K128" s="13" t="str">
        <f>IF(J128="Won","✔","")</f>
        <v/>
      </c>
      <c r="L128" s="10" t="s">
        <v>271</v>
      </c>
      <c r="M128" s="14">
        <v>16036</v>
      </c>
      <c r="N128" s="10"/>
      <c r="O128" s="10"/>
      <c r="P128" s="10"/>
      <c r="Q128" s="10"/>
      <c r="R128" s="10"/>
      <c r="S128" s="12"/>
      <c r="T128" s="14"/>
      <c r="U128" s="14"/>
      <c r="V128" s="10"/>
      <c r="W128" s="10"/>
    </row>
    <row r="129" spans="1:23" ht="15" customHeight="1" outlineLevel="1">
      <c r="A129" s="4" t="s">
        <v>886</v>
      </c>
      <c r="B129" s="10" t="s">
        <v>856</v>
      </c>
      <c r="C129" s="10" t="s">
        <v>102</v>
      </c>
      <c r="D129" s="10" t="s">
        <v>887</v>
      </c>
      <c r="E129" s="11" t="s">
        <v>866</v>
      </c>
      <c r="F129" s="10" t="s">
        <v>30</v>
      </c>
      <c r="G129" s="10" t="s">
        <v>35</v>
      </c>
      <c r="H129" s="11" t="s">
        <v>866</v>
      </c>
      <c r="I129" s="10" t="s">
        <v>30</v>
      </c>
      <c r="J129" s="12" t="s">
        <v>37</v>
      </c>
      <c r="K129" s="13" t="str">
        <f>IF(J129="Won","✔","")</f>
        <v/>
      </c>
      <c r="L129" s="10" t="s">
        <v>413</v>
      </c>
      <c r="M129" s="14">
        <v>12165</v>
      </c>
      <c r="N129" s="10"/>
      <c r="O129" s="10"/>
      <c r="P129" s="10"/>
      <c r="Q129" s="10"/>
      <c r="R129" s="10"/>
      <c r="S129" s="12"/>
      <c r="T129" s="14"/>
      <c r="U129" s="14"/>
      <c r="V129" s="10"/>
      <c r="W129" s="10"/>
    </row>
    <row r="130" spans="1:23" ht="15" customHeight="1">
      <c r="A130" s="2"/>
      <c r="B130" s="3" t="s">
        <v>888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" customHeight="1" outlineLevel="1">
      <c r="A131" s="4" t="s">
        <v>889</v>
      </c>
      <c r="B131" s="15" t="s">
        <v>866</v>
      </c>
      <c r="C131" s="15" t="s">
        <v>343</v>
      </c>
      <c r="D131" s="15" t="s">
        <v>890</v>
      </c>
      <c r="E131" s="16" t="s">
        <v>891</v>
      </c>
      <c r="F131" s="15" t="s">
        <v>42</v>
      </c>
      <c r="G131" s="15" t="s">
        <v>28</v>
      </c>
      <c r="H131" s="16"/>
      <c r="I131" s="15" t="s">
        <v>44</v>
      </c>
      <c r="J131" s="17" t="s">
        <v>378</v>
      </c>
      <c r="K131" s="18" t="str">
        <f>IF(J131="Won","✔","")</f>
        <v/>
      </c>
      <c r="L131" s="15"/>
      <c r="M131" s="19"/>
      <c r="N131" s="15"/>
      <c r="O131" s="15"/>
      <c r="P131" s="15"/>
      <c r="Q131" s="15"/>
      <c r="R131" s="15"/>
      <c r="S131" s="17"/>
      <c r="T131" s="19"/>
      <c r="U131" s="19"/>
      <c r="V131" s="15"/>
      <c r="W131" s="15"/>
    </row>
    <row r="132" spans="1:23" ht="15" customHeight="1" outlineLevel="1">
      <c r="A132" s="4" t="s">
        <v>892</v>
      </c>
      <c r="B132" s="15" t="s">
        <v>893</v>
      </c>
      <c r="C132" s="15" t="s">
        <v>108</v>
      </c>
      <c r="D132" s="15" t="s">
        <v>894</v>
      </c>
      <c r="E132" s="16" t="s">
        <v>895</v>
      </c>
      <c r="F132" s="15" t="s">
        <v>206</v>
      </c>
      <c r="G132" s="15" t="s">
        <v>28</v>
      </c>
      <c r="H132" s="16"/>
      <c r="I132" s="15" t="s">
        <v>44</v>
      </c>
      <c r="J132" s="17" t="s">
        <v>378</v>
      </c>
      <c r="K132" s="18" t="str">
        <f>IF(J132="Won","✔","")</f>
        <v/>
      </c>
      <c r="L132" s="15" t="s">
        <v>92</v>
      </c>
      <c r="M132" s="19"/>
      <c r="N132" s="15"/>
      <c r="O132" s="15"/>
      <c r="P132" s="15"/>
      <c r="Q132" s="15"/>
      <c r="R132" s="15"/>
      <c r="S132" s="17"/>
      <c r="T132" s="19"/>
      <c r="U132" s="19"/>
      <c r="V132" s="15"/>
      <c r="W132" s="15"/>
    </row>
    <row r="133" spans="1:23" ht="15" customHeight="1" outlineLevel="1">
      <c r="A133" s="4" t="s">
        <v>896</v>
      </c>
      <c r="B133" s="10" t="s">
        <v>897</v>
      </c>
      <c r="C133" s="10" t="s">
        <v>129</v>
      </c>
      <c r="D133" s="10" t="s">
        <v>898</v>
      </c>
      <c r="E133" s="11" t="s">
        <v>899</v>
      </c>
      <c r="F133" s="10" t="s">
        <v>42</v>
      </c>
      <c r="G133" s="10" t="s">
        <v>28</v>
      </c>
      <c r="H133" s="11"/>
      <c r="I133" s="10" t="s">
        <v>44</v>
      </c>
      <c r="J133" s="12"/>
      <c r="K133" s="13" t="str">
        <f>IF(J133="Won","✔","")</f>
        <v/>
      </c>
      <c r="L133" s="10"/>
      <c r="M133" s="14"/>
      <c r="N133" s="10"/>
      <c r="O133" s="10"/>
      <c r="P133" s="10"/>
      <c r="Q133" s="10"/>
      <c r="R133" s="10"/>
      <c r="S133" s="12"/>
      <c r="T133" s="14"/>
      <c r="U133" s="14"/>
      <c r="V133" s="10"/>
      <c r="W133" s="10"/>
    </row>
    <row r="134" spans="1:23" ht="15" customHeight="1" outlineLevel="1">
      <c r="A134" s="4" t="s">
        <v>900</v>
      </c>
      <c r="B134" s="10" t="s">
        <v>901</v>
      </c>
      <c r="C134" s="10" t="s">
        <v>53</v>
      </c>
      <c r="D134" s="10" t="s">
        <v>902</v>
      </c>
      <c r="E134" s="11" t="s">
        <v>899</v>
      </c>
      <c r="F134" s="10" t="s">
        <v>163</v>
      </c>
      <c r="G134" s="10" t="s">
        <v>35</v>
      </c>
      <c r="H134" s="11"/>
      <c r="I134" s="10" t="s">
        <v>144</v>
      </c>
      <c r="J134" s="12" t="s">
        <v>37</v>
      </c>
      <c r="K134" s="13" t="str">
        <f>IF(J134="Won","✔","")</f>
        <v/>
      </c>
      <c r="L134" s="10" t="s">
        <v>903</v>
      </c>
      <c r="M134" s="14">
        <v>2482</v>
      </c>
      <c r="N134" s="10"/>
      <c r="O134" s="10"/>
      <c r="P134" s="10"/>
      <c r="Q134" s="10"/>
      <c r="R134" s="10"/>
      <c r="S134" s="12"/>
      <c r="T134" s="14"/>
      <c r="U134" s="14"/>
      <c r="V134" s="10"/>
      <c r="W134" s="10"/>
    </row>
    <row r="135" spans="1:23" ht="15" customHeight="1" outlineLevel="1">
      <c r="A135" s="4" t="s">
        <v>904</v>
      </c>
      <c r="B135" s="10" t="s">
        <v>897</v>
      </c>
      <c r="C135" s="10" t="s">
        <v>860</v>
      </c>
      <c r="D135" s="10" t="s">
        <v>905</v>
      </c>
      <c r="E135" s="11" t="s">
        <v>906</v>
      </c>
      <c r="F135" s="10" t="s">
        <v>42</v>
      </c>
      <c r="G135" s="10" t="s">
        <v>28</v>
      </c>
      <c r="H135" s="11"/>
      <c r="I135" s="10" t="s">
        <v>44</v>
      </c>
      <c r="J135" s="12"/>
      <c r="K135" s="13" t="str">
        <f>IF(J135="Won","✔","")</f>
        <v/>
      </c>
      <c r="L135" s="10" t="s">
        <v>181</v>
      </c>
      <c r="M135" s="14"/>
      <c r="N135" s="10"/>
      <c r="O135" s="10"/>
      <c r="P135" s="10"/>
      <c r="Q135" s="10"/>
      <c r="R135" s="10"/>
      <c r="S135" s="12"/>
      <c r="T135" s="14"/>
      <c r="U135" s="14"/>
      <c r="V135" s="10"/>
      <c r="W135" s="10"/>
    </row>
    <row r="136" spans="1:23" ht="15" customHeight="1" outlineLevel="1">
      <c r="A136" s="4" t="s">
        <v>907</v>
      </c>
      <c r="B136" s="10" t="s">
        <v>908</v>
      </c>
      <c r="C136" s="10" t="s">
        <v>102</v>
      </c>
      <c r="D136" s="10" t="s">
        <v>909</v>
      </c>
      <c r="E136" s="11" t="s">
        <v>910</v>
      </c>
      <c r="F136" s="10" t="s">
        <v>42</v>
      </c>
      <c r="G136" s="10" t="s">
        <v>28</v>
      </c>
      <c r="H136" s="11"/>
      <c r="I136" s="10" t="s">
        <v>30</v>
      </c>
      <c r="J136" s="12"/>
      <c r="K136" s="13" t="str">
        <f>IF(J136="Won","✔","")</f>
        <v/>
      </c>
      <c r="L136" s="10"/>
      <c r="M136" s="14">
        <v>16028</v>
      </c>
      <c r="N136" s="10"/>
      <c r="O136" s="10"/>
      <c r="P136" s="10"/>
      <c r="Q136" s="10"/>
      <c r="R136" s="10"/>
      <c r="S136" s="12"/>
      <c r="T136" s="14"/>
      <c r="U136" s="14"/>
      <c r="V136" s="10"/>
      <c r="W136" s="10"/>
    </row>
    <row r="137" spans="1:23" ht="15" customHeight="1" outlineLevel="1">
      <c r="A137" s="4" t="s">
        <v>911</v>
      </c>
      <c r="B137" s="10" t="s">
        <v>908</v>
      </c>
      <c r="C137" s="10" t="s">
        <v>263</v>
      </c>
      <c r="D137" s="10" t="s">
        <v>912</v>
      </c>
      <c r="E137" s="11" t="s">
        <v>910</v>
      </c>
      <c r="F137" s="10" t="s">
        <v>729</v>
      </c>
      <c r="G137" s="10" t="s">
        <v>28</v>
      </c>
      <c r="H137" s="11" t="s">
        <v>910</v>
      </c>
      <c r="I137" s="10" t="s">
        <v>44</v>
      </c>
      <c r="J137" s="12" t="s">
        <v>37</v>
      </c>
      <c r="K137" s="13" t="str">
        <f>IF(J137="Won","✔","")</f>
        <v/>
      </c>
      <c r="L137" s="10" t="s">
        <v>702</v>
      </c>
      <c r="M137" s="14">
        <v>19089</v>
      </c>
      <c r="N137" s="10"/>
      <c r="O137" s="10"/>
      <c r="P137" s="10"/>
      <c r="Q137" s="10"/>
      <c r="R137" s="10"/>
      <c r="S137" s="12"/>
      <c r="T137" s="14"/>
      <c r="U137" s="14"/>
      <c r="V137" s="10"/>
      <c r="W137" s="10"/>
    </row>
    <row r="138" spans="1:23" ht="15" customHeight="1" outlineLevel="1">
      <c r="A138" s="4" t="s">
        <v>913</v>
      </c>
      <c r="B138" s="10" t="s">
        <v>908</v>
      </c>
      <c r="C138" s="10" t="s">
        <v>53</v>
      </c>
      <c r="D138" s="10" t="s">
        <v>156</v>
      </c>
      <c r="E138" s="11" t="s">
        <v>914</v>
      </c>
      <c r="F138" s="10" t="s">
        <v>42</v>
      </c>
      <c r="G138" s="10" t="s">
        <v>28</v>
      </c>
      <c r="H138" s="11" t="s">
        <v>914</v>
      </c>
      <c r="I138" s="10" t="s">
        <v>30</v>
      </c>
      <c r="J138" s="12" t="s">
        <v>37</v>
      </c>
      <c r="K138" s="13" t="str">
        <f>IF(J138="Won","✔","")</f>
        <v/>
      </c>
      <c r="L138" s="10"/>
      <c r="M138" s="14">
        <v>206000</v>
      </c>
      <c r="N138" s="10"/>
      <c r="O138" s="10"/>
      <c r="P138" s="10"/>
      <c r="Q138" s="10" t="s">
        <v>158</v>
      </c>
      <c r="R138" s="10"/>
      <c r="S138" s="12"/>
      <c r="T138" s="14"/>
      <c r="U138" s="14"/>
      <c r="V138" s="10"/>
      <c r="W138" s="10"/>
    </row>
    <row r="139" spans="1:23" ht="15" customHeight="1" outlineLevel="1">
      <c r="A139" s="4" t="s">
        <v>915</v>
      </c>
      <c r="B139" s="10" t="s">
        <v>906</v>
      </c>
      <c r="C139" s="10" t="s">
        <v>108</v>
      </c>
      <c r="D139" s="10" t="s">
        <v>916</v>
      </c>
      <c r="E139" s="11" t="s">
        <v>917</v>
      </c>
      <c r="F139" s="10"/>
      <c r="G139" s="10"/>
      <c r="H139" s="11"/>
      <c r="I139" s="10"/>
      <c r="J139" s="12"/>
      <c r="K139" s="13" t="str">
        <f>IF(J139="Won","✔","")</f>
        <v/>
      </c>
      <c r="L139" s="10"/>
      <c r="M139" s="14"/>
      <c r="N139" s="10"/>
      <c r="O139" s="10"/>
      <c r="P139" s="10"/>
      <c r="Q139" s="10"/>
      <c r="R139" s="10"/>
      <c r="S139" s="12"/>
      <c r="T139" s="14"/>
      <c r="U139" s="14"/>
      <c r="V139" s="10"/>
      <c r="W139" s="10"/>
    </row>
    <row r="140" spans="1:23" ht="15" customHeight="1" outlineLevel="1">
      <c r="A140" s="4" t="s">
        <v>918</v>
      </c>
      <c r="B140" s="10" t="s">
        <v>919</v>
      </c>
      <c r="C140" s="10" t="s">
        <v>105</v>
      </c>
      <c r="D140" s="10" t="s">
        <v>920</v>
      </c>
      <c r="E140" s="11" t="s">
        <v>919</v>
      </c>
      <c r="F140" s="10" t="s">
        <v>30</v>
      </c>
      <c r="G140" s="10" t="s">
        <v>28</v>
      </c>
      <c r="H140" s="11" t="s">
        <v>919</v>
      </c>
      <c r="I140" s="10" t="s">
        <v>30</v>
      </c>
      <c r="J140" s="12" t="s">
        <v>37</v>
      </c>
      <c r="K140" s="13" t="str">
        <f>IF(J140="Won","✔","")</f>
        <v/>
      </c>
      <c r="L140" s="10"/>
      <c r="M140" s="14">
        <v>787</v>
      </c>
      <c r="N140" s="10"/>
      <c r="O140" s="10"/>
      <c r="P140" s="10"/>
      <c r="Q140" s="10"/>
      <c r="R140" s="10"/>
      <c r="S140" s="12"/>
      <c r="T140" s="14"/>
      <c r="U140" s="14"/>
      <c r="V140" s="10"/>
      <c r="W140" s="10"/>
    </row>
    <row r="141" spans="1:23" ht="15" customHeight="1" outlineLevel="1">
      <c r="A141" s="4" t="s">
        <v>921</v>
      </c>
      <c r="B141" s="10" t="s">
        <v>914</v>
      </c>
      <c r="C141" s="10" t="s">
        <v>922</v>
      </c>
      <c r="D141" s="10" t="s">
        <v>923</v>
      </c>
      <c r="E141" s="11" t="s">
        <v>899</v>
      </c>
      <c r="F141" s="10" t="s">
        <v>30</v>
      </c>
      <c r="G141" s="10" t="s">
        <v>28</v>
      </c>
      <c r="H141" s="11" t="s">
        <v>899</v>
      </c>
      <c r="I141" s="10" t="s">
        <v>30</v>
      </c>
      <c r="J141" s="12" t="s">
        <v>37</v>
      </c>
      <c r="K141" s="13" t="str">
        <f>IF(J141="Won","✔","")</f>
        <v/>
      </c>
      <c r="L141" s="10"/>
      <c r="M141" s="14">
        <v>845</v>
      </c>
      <c r="N141" s="10"/>
      <c r="O141" s="10"/>
      <c r="P141" s="10"/>
      <c r="Q141" s="10"/>
      <c r="R141" s="10"/>
      <c r="S141" s="12"/>
      <c r="T141" s="14"/>
      <c r="U141" s="14"/>
      <c r="V141" s="10"/>
      <c r="W141" s="10"/>
    </row>
    <row r="142" spans="1:23" ht="15" customHeight="1" outlineLevel="1">
      <c r="A142" s="4" t="s">
        <v>924</v>
      </c>
      <c r="B142" s="10" t="s">
        <v>914</v>
      </c>
      <c r="C142" s="10" t="s">
        <v>922</v>
      </c>
      <c r="D142" s="10" t="s">
        <v>925</v>
      </c>
      <c r="E142" s="11" t="s">
        <v>899</v>
      </c>
      <c r="F142" s="10" t="s">
        <v>30</v>
      </c>
      <c r="G142" s="10" t="s">
        <v>28</v>
      </c>
      <c r="H142" s="11" t="s">
        <v>899</v>
      </c>
      <c r="I142" s="10" t="s">
        <v>30</v>
      </c>
      <c r="J142" s="12" t="s">
        <v>37</v>
      </c>
      <c r="K142" s="13" t="str">
        <f>IF(J142="Won","✔","")</f>
        <v/>
      </c>
      <c r="L142" s="10"/>
      <c r="M142" s="14">
        <v>290</v>
      </c>
      <c r="N142" s="10"/>
      <c r="O142" s="10"/>
      <c r="P142" s="10"/>
      <c r="Q142" s="10"/>
      <c r="R142" s="10"/>
      <c r="S142" s="12"/>
      <c r="T142" s="14"/>
      <c r="U142" s="14"/>
      <c r="V142" s="10"/>
      <c r="W142" s="10"/>
    </row>
    <row r="143" spans="1:23" ht="15" customHeight="1" outlineLevel="1">
      <c r="A143" s="4" t="s">
        <v>926</v>
      </c>
      <c r="B143" s="10" t="s">
        <v>914</v>
      </c>
      <c r="C143" s="10" t="s">
        <v>922</v>
      </c>
      <c r="D143" s="10" t="s">
        <v>927</v>
      </c>
      <c r="E143" s="11" t="s">
        <v>899</v>
      </c>
      <c r="F143" s="10" t="s">
        <v>30</v>
      </c>
      <c r="G143" s="10" t="s">
        <v>28</v>
      </c>
      <c r="H143" s="11" t="s">
        <v>899</v>
      </c>
      <c r="I143" s="10" t="s">
        <v>30</v>
      </c>
      <c r="J143" s="12" t="s">
        <v>37</v>
      </c>
      <c r="K143" s="13" t="str">
        <f>IF(J143="Won","✔","")</f>
        <v/>
      </c>
      <c r="L143" s="10"/>
      <c r="M143" s="14">
        <v>4584</v>
      </c>
      <c r="N143" s="10"/>
      <c r="O143" s="10"/>
      <c r="P143" s="10"/>
      <c r="Q143" s="10"/>
      <c r="R143" s="10"/>
      <c r="S143" s="12"/>
      <c r="T143" s="14"/>
      <c r="U143" s="14"/>
      <c r="V143" s="10"/>
      <c r="W143" s="10"/>
    </row>
    <row r="144" spans="1:23" ht="15" customHeight="1" outlineLevel="1">
      <c r="A144" s="4" t="s">
        <v>928</v>
      </c>
      <c r="B144" s="10" t="s">
        <v>929</v>
      </c>
      <c r="C144" s="10" t="s">
        <v>930</v>
      </c>
      <c r="D144" s="10" t="s">
        <v>931</v>
      </c>
      <c r="E144" s="11" t="s">
        <v>917</v>
      </c>
      <c r="F144" s="10" t="s">
        <v>30</v>
      </c>
      <c r="G144" s="10" t="s">
        <v>28</v>
      </c>
      <c r="H144" s="11" t="s">
        <v>929</v>
      </c>
      <c r="I144" s="10" t="s">
        <v>30</v>
      </c>
      <c r="J144" s="12" t="s">
        <v>37</v>
      </c>
      <c r="K144" s="13" t="str">
        <f>IF(J144="Won","✔","")</f>
        <v/>
      </c>
      <c r="L144" s="10" t="s">
        <v>139</v>
      </c>
      <c r="M144" s="14">
        <v>3382</v>
      </c>
      <c r="N144" s="10"/>
      <c r="O144" s="10"/>
      <c r="P144" s="10"/>
      <c r="Q144" s="10"/>
      <c r="R144" s="10"/>
      <c r="S144" s="12"/>
      <c r="T144" s="14"/>
      <c r="U144" s="14"/>
      <c r="V144" s="10"/>
      <c r="W144" s="10"/>
    </row>
    <row r="145" spans="1:23" ht="15" customHeight="1" outlineLevel="1">
      <c r="A145" s="4" t="s">
        <v>932</v>
      </c>
      <c r="B145" s="10" t="s">
        <v>895</v>
      </c>
      <c r="C145" s="10" t="s">
        <v>64</v>
      </c>
      <c r="D145" s="10" t="s">
        <v>933</v>
      </c>
      <c r="E145" s="11" t="s">
        <v>895</v>
      </c>
      <c r="F145" s="10" t="s">
        <v>30</v>
      </c>
      <c r="G145" s="10" t="s">
        <v>28</v>
      </c>
      <c r="H145" s="11" t="s">
        <v>895</v>
      </c>
      <c r="I145" s="10" t="s">
        <v>30</v>
      </c>
      <c r="J145" s="12" t="s">
        <v>37</v>
      </c>
      <c r="K145" s="13" t="str">
        <f>IF(J145="Won","✔","")</f>
        <v/>
      </c>
      <c r="L145" s="10" t="s">
        <v>51</v>
      </c>
      <c r="M145" s="14">
        <v>626</v>
      </c>
      <c r="N145" s="10"/>
      <c r="O145" s="10"/>
      <c r="P145" s="10"/>
      <c r="Q145" s="10"/>
      <c r="R145" s="10"/>
      <c r="S145" s="12"/>
      <c r="T145" s="14"/>
      <c r="U145" s="14"/>
      <c r="V145" s="10"/>
      <c r="W145" s="10"/>
    </row>
    <row r="146" spans="1:23" ht="15" customHeight="1" outlineLevel="1">
      <c r="A146" s="4" t="s">
        <v>934</v>
      </c>
      <c r="B146" s="10" t="s">
        <v>914</v>
      </c>
      <c r="C146" s="10" t="s">
        <v>922</v>
      </c>
      <c r="D146" s="10" t="s">
        <v>935</v>
      </c>
      <c r="E146" s="11" t="s">
        <v>899</v>
      </c>
      <c r="F146" s="10" t="s">
        <v>30</v>
      </c>
      <c r="G146" s="10" t="s">
        <v>28</v>
      </c>
      <c r="H146" s="11" t="s">
        <v>899</v>
      </c>
      <c r="I146" s="10" t="s">
        <v>30</v>
      </c>
      <c r="J146" s="12" t="s">
        <v>37</v>
      </c>
      <c r="K146" s="13" t="str">
        <f>IF(J146="Won","✔","")</f>
        <v/>
      </c>
      <c r="L146" s="10" t="s">
        <v>51</v>
      </c>
      <c r="M146" s="14">
        <v>2829</v>
      </c>
      <c r="N146" s="10"/>
      <c r="O146" s="10"/>
      <c r="P146" s="10"/>
      <c r="Q146" s="10"/>
      <c r="R146" s="10"/>
      <c r="S146" s="12"/>
      <c r="T146" s="14"/>
      <c r="U146" s="14"/>
      <c r="V146" s="10"/>
      <c r="W146" s="10"/>
    </row>
    <row r="147" spans="1:23" ht="15" customHeight="1" outlineLevel="1">
      <c r="A147" s="4" t="s">
        <v>936</v>
      </c>
      <c r="B147" s="10" t="s">
        <v>899</v>
      </c>
      <c r="C147" s="10" t="s">
        <v>512</v>
      </c>
      <c r="D147" s="10" t="s">
        <v>937</v>
      </c>
      <c r="E147" s="11" t="s">
        <v>929</v>
      </c>
      <c r="F147" s="10" t="s">
        <v>30</v>
      </c>
      <c r="G147" s="10" t="s">
        <v>28</v>
      </c>
      <c r="H147" s="11" t="s">
        <v>929</v>
      </c>
      <c r="I147" s="10" t="s">
        <v>30</v>
      </c>
      <c r="J147" s="12" t="s">
        <v>37</v>
      </c>
      <c r="K147" s="13" t="str">
        <f>IF(J147="Won","✔","")</f>
        <v/>
      </c>
      <c r="L147" s="10" t="s">
        <v>233</v>
      </c>
      <c r="M147" s="14">
        <v>7687</v>
      </c>
      <c r="N147" s="10"/>
      <c r="O147" s="10"/>
      <c r="P147" s="10"/>
      <c r="Q147" s="10"/>
      <c r="R147" s="10"/>
      <c r="S147" s="12"/>
      <c r="T147" s="14"/>
      <c r="U147" s="14"/>
      <c r="V147" s="10"/>
      <c r="W147" s="10"/>
    </row>
    <row r="148" spans="1:23" ht="15" customHeight="1" outlineLevel="1">
      <c r="A148" s="4" t="s">
        <v>938</v>
      </c>
      <c r="B148" s="10" t="s">
        <v>917</v>
      </c>
      <c r="C148" s="10" t="s">
        <v>25</v>
      </c>
      <c r="D148" s="10" t="s">
        <v>939</v>
      </c>
      <c r="E148" s="11" t="s">
        <v>940</v>
      </c>
      <c r="F148" s="10" t="s">
        <v>27</v>
      </c>
      <c r="G148" s="10" t="s">
        <v>28</v>
      </c>
      <c r="H148" s="11" t="s">
        <v>941</v>
      </c>
      <c r="I148" s="10" t="s">
        <v>30</v>
      </c>
      <c r="J148" s="12" t="s">
        <v>37</v>
      </c>
      <c r="K148" s="13" t="str">
        <f>IF(J148="Won","✔","")</f>
        <v/>
      </c>
      <c r="L148" s="10" t="s">
        <v>51</v>
      </c>
      <c r="M148" s="14">
        <v>191156</v>
      </c>
      <c r="N148" s="10"/>
      <c r="O148" s="10"/>
      <c r="P148" s="10"/>
      <c r="Q148" s="10"/>
      <c r="R148" s="10"/>
      <c r="S148" s="12"/>
      <c r="T148" s="14"/>
      <c r="U148" s="14"/>
      <c r="V148" s="10"/>
      <c r="W148" s="10"/>
    </row>
    <row r="149" spans="1:23" ht="15" customHeight="1" outlineLevel="1">
      <c r="A149" s="4" t="s">
        <v>942</v>
      </c>
      <c r="B149" s="10" t="s">
        <v>174</v>
      </c>
      <c r="C149" s="10" t="s">
        <v>25</v>
      </c>
      <c r="D149" s="10" t="s">
        <v>175</v>
      </c>
      <c r="E149" s="11" t="s">
        <v>941</v>
      </c>
      <c r="F149" s="10" t="s">
        <v>666</v>
      </c>
      <c r="G149" s="10" t="s">
        <v>35</v>
      </c>
      <c r="H149" s="11" t="s">
        <v>943</v>
      </c>
      <c r="I149" s="10" t="s">
        <v>30</v>
      </c>
      <c r="J149" s="12" t="s">
        <v>37</v>
      </c>
      <c r="K149" s="13" t="str">
        <f>IF(J149="Won","✔","")</f>
        <v/>
      </c>
      <c r="L149" s="10" t="s">
        <v>51</v>
      </c>
      <c r="M149" s="14">
        <v>268870</v>
      </c>
      <c r="N149" s="10"/>
      <c r="O149" s="10"/>
      <c r="P149" s="10"/>
      <c r="Q149" s="10"/>
      <c r="R149" s="10"/>
      <c r="S149" s="12"/>
      <c r="T149" s="14"/>
      <c r="U149" s="14"/>
      <c r="V149" s="10"/>
      <c r="W149" s="10"/>
    </row>
    <row r="150" spans="1:23" ht="15" customHeight="1" outlineLevel="1">
      <c r="A150" s="4" t="s">
        <v>944</v>
      </c>
      <c r="B150" s="10" t="s">
        <v>945</v>
      </c>
      <c r="C150" s="10" t="s">
        <v>53</v>
      </c>
      <c r="D150" s="10" t="s">
        <v>946</v>
      </c>
      <c r="E150" s="11" t="s">
        <v>941</v>
      </c>
      <c r="F150" s="10" t="s">
        <v>163</v>
      </c>
      <c r="G150" s="10" t="s">
        <v>35</v>
      </c>
      <c r="H150" s="11" t="s">
        <v>941</v>
      </c>
      <c r="I150" s="10" t="s">
        <v>30</v>
      </c>
      <c r="J150" s="12"/>
      <c r="K150" s="13" t="str">
        <f>IF(J150="Won","✔","")</f>
        <v/>
      </c>
      <c r="L150" s="10"/>
      <c r="M150" s="14">
        <v>66371</v>
      </c>
      <c r="N150" s="10"/>
      <c r="O150" s="10"/>
      <c r="P150" s="10"/>
      <c r="Q150" s="10"/>
      <c r="R150" s="10"/>
      <c r="S150" s="12"/>
      <c r="T150" s="14"/>
      <c r="U150" s="14"/>
      <c r="V150" s="10"/>
      <c r="W150" s="10"/>
    </row>
    <row r="151" spans="1:23" ht="15" customHeight="1" outlineLevel="1">
      <c r="A151" s="4" t="s">
        <v>947</v>
      </c>
      <c r="B151" s="10" t="s">
        <v>945</v>
      </c>
      <c r="C151" s="10" t="s">
        <v>638</v>
      </c>
      <c r="D151" s="10" t="s">
        <v>948</v>
      </c>
      <c r="E151" s="11" t="s">
        <v>949</v>
      </c>
      <c r="F151" s="10" t="s">
        <v>30</v>
      </c>
      <c r="G151" s="10" t="s">
        <v>28</v>
      </c>
      <c r="H151" s="11"/>
      <c r="I151" s="10"/>
      <c r="J151" s="12"/>
      <c r="K151" s="13" t="str">
        <f>IF(J151="Won","✔","")</f>
        <v/>
      </c>
      <c r="L151" s="10"/>
      <c r="M151" s="14"/>
      <c r="N151" s="10"/>
      <c r="O151" s="10"/>
      <c r="P151" s="10"/>
      <c r="Q151" s="10"/>
      <c r="R151" s="10"/>
      <c r="S151" s="12"/>
      <c r="T151" s="14"/>
      <c r="U151" s="14"/>
      <c r="V151" s="10"/>
      <c r="W151" s="10"/>
    </row>
    <row r="152" spans="1:23" ht="15" customHeight="1">
      <c r="A152" s="2"/>
      <c r="B152" s="3" t="s">
        <v>950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" customHeight="1" outlineLevel="1">
      <c r="A153" s="4" t="s">
        <v>951</v>
      </c>
      <c r="B153" s="10" t="s">
        <v>917</v>
      </c>
      <c r="C153" s="10" t="s">
        <v>620</v>
      </c>
      <c r="D153" s="10" t="s">
        <v>952</v>
      </c>
      <c r="E153" s="11" t="s">
        <v>953</v>
      </c>
      <c r="F153" s="10" t="s">
        <v>206</v>
      </c>
      <c r="G153" s="10" t="s">
        <v>28</v>
      </c>
      <c r="H153" s="11" t="s">
        <v>954</v>
      </c>
      <c r="I153" s="10" t="s">
        <v>44</v>
      </c>
      <c r="J153" s="12" t="s">
        <v>37</v>
      </c>
      <c r="K153" s="13" t="str">
        <f>IF(J153="Won","✔","")</f>
        <v/>
      </c>
      <c r="L153" s="10" t="s">
        <v>955</v>
      </c>
      <c r="M153" s="14">
        <v>143912.5</v>
      </c>
      <c r="N153" s="10"/>
      <c r="O153" s="10" t="s">
        <v>956</v>
      </c>
      <c r="P153" s="10"/>
      <c r="Q153" s="10"/>
      <c r="R153" s="10" t="s">
        <v>957</v>
      </c>
      <c r="S153" s="12"/>
      <c r="T153" s="14"/>
      <c r="U153" s="14"/>
      <c r="V153" s="10"/>
      <c r="W153" s="10"/>
    </row>
    <row r="154" spans="1:23" ht="15" customHeight="1" outlineLevel="1">
      <c r="A154" s="4" t="s">
        <v>958</v>
      </c>
      <c r="B154" s="10" t="s">
        <v>959</v>
      </c>
      <c r="C154" s="10" t="s">
        <v>53</v>
      </c>
      <c r="D154" s="10" t="s">
        <v>960</v>
      </c>
      <c r="E154" s="11" t="s">
        <v>961</v>
      </c>
      <c r="F154" s="10" t="s">
        <v>42</v>
      </c>
      <c r="G154" s="10" t="s">
        <v>28</v>
      </c>
      <c r="H154" s="11" t="s">
        <v>962</v>
      </c>
      <c r="I154" s="10" t="s">
        <v>144</v>
      </c>
      <c r="J154" s="12" t="s">
        <v>31</v>
      </c>
      <c r="K154" s="13" t="str">
        <f>IF(J154="Won","✔","")</f>
        <v>✔</v>
      </c>
      <c r="L154" s="10"/>
      <c r="M154" s="14">
        <v>3504</v>
      </c>
      <c r="N154" s="10"/>
      <c r="O154" s="10"/>
      <c r="P154" s="10"/>
      <c r="Q154" s="10"/>
      <c r="R154" s="10"/>
      <c r="S154" s="12"/>
      <c r="T154" s="14"/>
      <c r="U154" s="14"/>
      <c r="V154" s="10"/>
      <c r="W154" s="10"/>
    </row>
    <row r="155" spans="1:23" ht="15" customHeight="1" outlineLevel="1">
      <c r="A155" s="4" t="s">
        <v>963</v>
      </c>
      <c r="B155" s="10" t="s">
        <v>959</v>
      </c>
      <c r="C155" s="10" t="s">
        <v>108</v>
      </c>
      <c r="D155" s="10" t="s">
        <v>964</v>
      </c>
      <c r="E155" s="11" t="s">
        <v>965</v>
      </c>
      <c r="F155" s="10" t="s">
        <v>206</v>
      </c>
      <c r="G155" s="10" t="s">
        <v>585</v>
      </c>
      <c r="H155" s="11" t="s">
        <v>965</v>
      </c>
      <c r="I155" s="10" t="s">
        <v>44</v>
      </c>
      <c r="J155" s="12" t="s">
        <v>37</v>
      </c>
      <c r="K155" s="13" t="str">
        <f>IF(J155="Won","✔","")</f>
        <v/>
      </c>
      <c r="L155" s="10" t="s">
        <v>51</v>
      </c>
      <c r="M155" s="14">
        <v>375940</v>
      </c>
      <c r="N155" s="10"/>
      <c r="O155" s="10" t="s">
        <v>966</v>
      </c>
      <c r="P155" s="10"/>
      <c r="Q155" s="10"/>
      <c r="R155" s="10"/>
      <c r="S155" s="12"/>
      <c r="T155" s="14"/>
      <c r="U155" s="14"/>
      <c r="V155" s="10"/>
      <c r="W155" s="10"/>
    </row>
    <row r="156" spans="1:23" ht="15" customHeight="1" outlineLevel="1">
      <c r="A156" s="4" t="s">
        <v>967</v>
      </c>
      <c r="B156" s="15" t="s">
        <v>959</v>
      </c>
      <c r="C156" s="15" t="s">
        <v>386</v>
      </c>
      <c r="D156" s="15" t="s">
        <v>964</v>
      </c>
      <c r="E156" s="16" t="s">
        <v>965</v>
      </c>
      <c r="F156" s="15" t="s">
        <v>206</v>
      </c>
      <c r="G156" s="15" t="s">
        <v>585</v>
      </c>
      <c r="H156" s="16" t="s">
        <v>965</v>
      </c>
      <c r="I156" s="15" t="s">
        <v>44</v>
      </c>
      <c r="J156" s="17" t="s">
        <v>968</v>
      </c>
      <c r="K156" s="18" t="str">
        <f>IF(J156="Won","✔","")</f>
        <v/>
      </c>
      <c r="L156" s="15" t="s">
        <v>51</v>
      </c>
      <c r="M156" s="19">
        <v>375940</v>
      </c>
      <c r="N156" s="15"/>
      <c r="O156" s="15"/>
      <c r="P156" s="15"/>
      <c r="Q156" s="15"/>
      <c r="R156" s="15"/>
      <c r="S156" s="17"/>
      <c r="T156" s="19"/>
      <c r="U156" s="19"/>
      <c r="V156" s="15"/>
      <c r="W156" s="15"/>
    </row>
    <row r="157" spans="1:23" ht="15" customHeight="1" outlineLevel="1">
      <c r="A157" s="4" t="s">
        <v>969</v>
      </c>
      <c r="B157" s="10" t="s">
        <v>970</v>
      </c>
      <c r="C157" s="10" t="s">
        <v>971</v>
      </c>
      <c r="D157" s="10" t="s">
        <v>964</v>
      </c>
      <c r="E157" s="11" t="s">
        <v>962</v>
      </c>
      <c r="F157" s="10" t="s">
        <v>206</v>
      </c>
      <c r="G157" s="10" t="s">
        <v>585</v>
      </c>
      <c r="H157" s="11" t="s">
        <v>965</v>
      </c>
      <c r="I157" s="10" t="s">
        <v>44</v>
      </c>
      <c r="J157" s="12" t="s">
        <v>37</v>
      </c>
      <c r="K157" s="13" t="str">
        <f>IF(J157="Won","✔","")</f>
        <v/>
      </c>
      <c r="L157" s="10" t="s">
        <v>51</v>
      </c>
      <c r="M157" s="14">
        <v>375940</v>
      </c>
      <c r="N157" s="10"/>
      <c r="O157" s="10"/>
      <c r="P157" s="10"/>
      <c r="Q157" s="10"/>
      <c r="R157" s="10"/>
      <c r="S157" s="12"/>
      <c r="T157" s="14"/>
      <c r="U157" s="14"/>
      <c r="V157" s="10"/>
      <c r="W157" s="10"/>
    </row>
    <row r="158" spans="1:23" ht="15" customHeight="1" outlineLevel="1">
      <c r="A158" s="4" t="s">
        <v>972</v>
      </c>
      <c r="B158" s="10" t="s">
        <v>954</v>
      </c>
      <c r="C158" s="10" t="s">
        <v>53</v>
      </c>
      <c r="D158" s="10" t="s">
        <v>973</v>
      </c>
      <c r="E158" s="11" t="s">
        <v>974</v>
      </c>
      <c r="F158" s="10" t="s">
        <v>206</v>
      </c>
      <c r="G158" s="10"/>
      <c r="H158" s="11" t="s">
        <v>974</v>
      </c>
      <c r="I158" s="10" t="s">
        <v>144</v>
      </c>
      <c r="J158" s="12" t="s">
        <v>37</v>
      </c>
      <c r="K158" s="13" t="str">
        <f>IF(J158="Won","✔","")</f>
        <v/>
      </c>
      <c r="L158" s="10" t="s">
        <v>51</v>
      </c>
      <c r="M158" s="14">
        <v>125813</v>
      </c>
      <c r="N158" s="10"/>
      <c r="O158" s="10" t="s">
        <v>975</v>
      </c>
      <c r="P158" s="10"/>
      <c r="Q158" s="10"/>
      <c r="R158" s="10"/>
      <c r="S158" s="12"/>
      <c r="T158" s="14"/>
      <c r="U158" s="14"/>
      <c r="V158" s="10"/>
      <c r="W158" s="10"/>
    </row>
    <row r="159" spans="1:23" ht="15" customHeight="1" outlineLevel="1">
      <c r="A159" s="4" t="s">
        <v>976</v>
      </c>
      <c r="B159" s="10" t="s">
        <v>943</v>
      </c>
      <c r="C159" s="10" t="s">
        <v>977</v>
      </c>
      <c r="D159" s="10" t="s">
        <v>978</v>
      </c>
      <c r="E159" s="11" t="s">
        <v>979</v>
      </c>
      <c r="F159" s="10" t="s">
        <v>206</v>
      </c>
      <c r="G159" s="10" t="s">
        <v>28</v>
      </c>
      <c r="H159" s="11" t="s">
        <v>980</v>
      </c>
      <c r="I159" s="10" t="s">
        <v>44</v>
      </c>
      <c r="J159" s="12" t="s">
        <v>37</v>
      </c>
      <c r="K159" s="13" t="str">
        <f>IF(J159="Won","✔","")</f>
        <v/>
      </c>
      <c r="L159" s="10" t="s">
        <v>92</v>
      </c>
      <c r="M159" s="14">
        <v>16426</v>
      </c>
      <c r="N159" s="10"/>
      <c r="O159" s="10" t="s">
        <v>981</v>
      </c>
      <c r="P159" s="10"/>
      <c r="Q159" s="10"/>
      <c r="R159" s="10"/>
      <c r="S159" s="12"/>
      <c r="T159" s="14"/>
      <c r="U159" s="14"/>
      <c r="V159" s="10"/>
      <c r="W159" s="10"/>
    </row>
    <row r="160" spans="1:23" ht="15" customHeight="1" outlineLevel="1">
      <c r="A160" s="4" t="s">
        <v>982</v>
      </c>
      <c r="B160" s="10" t="s">
        <v>943</v>
      </c>
      <c r="C160" s="10" t="s">
        <v>108</v>
      </c>
      <c r="D160" s="10" t="s">
        <v>983</v>
      </c>
      <c r="E160" s="11" t="s">
        <v>984</v>
      </c>
      <c r="F160" s="10" t="s">
        <v>30</v>
      </c>
      <c r="G160" s="10" t="s">
        <v>28</v>
      </c>
      <c r="H160" s="11" t="s">
        <v>984</v>
      </c>
      <c r="I160" s="10" t="s">
        <v>30</v>
      </c>
      <c r="J160" s="12" t="s">
        <v>37</v>
      </c>
      <c r="K160" s="13" t="str">
        <f>IF(J160="Won","✔","")</f>
        <v/>
      </c>
      <c r="L160" s="10" t="s">
        <v>233</v>
      </c>
      <c r="M160" s="14">
        <v>1207</v>
      </c>
      <c r="N160" s="10"/>
      <c r="O160" s="10"/>
      <c r="P160" s="10"/>
      <c r="Q160" s="10"/>
      <c r="R160" s="10"/>
      <c r="S160" s="12"/>
      <c r="T160" s="14"/>
      <c r="U160" s="14"/>
      <c r="V160" s="10"/>
      <c r="W160" s="10"/>
    </row>
    <row r="161" spans="1:23" ht="15" customHeight="1" outlineLevel="1">
      <c r="A161" s="4" t="s">
        <v>985</v>
      </c>
      <c r="B161" s="10" t="s">
        <v>953</v>
      </c>
      <c r="C161" s="10" t="s">
        <v>102</v>
      </c>
      <c r="D161" s="10" t="s">
        <v>314</v>
      </c>
      <c r="E161" s="11" t="s">
        <v>965</v>
      </c>
      <c r="F161" s="10" t="s">
        <v>30</v>
      </c>
      <c r="G161" s="10" t="s">
        <v>28</v>
      </c>
      <c r="H161" s="11" t="s">
        <v>965</v>
      </c>
      <c r="I161" s="10" t="s">
        <v>30</v>
      </c>
      <c r="J161" s="12" t="s">
        <v>37</v>
      </c>
      <c r="K161" s="13" t="str">
        <f>IF(J161="Won","✔","")</f>
        <v/>
      </c>
      <c r="L161" s="10" t="s">
        <v>986</v>
      </c>
      <c r="M161" s="14">
        <v>52949</v>
      </c>
      <c r="N161" s="10"/>
      <c r="O161" s="10"/>
      <c r="P161" s="10"/>
      <c r="Q161" s="10"/>
      <c r="R161" s="10"/>
      <c r="S161" s="12"/>
      <c r="T161" s="14"/>
      <c r="U161" s="14"/>
      <c r="V161" s="10"/>
      <c r="W161" s="10"/>
    </row>
    <row r="162" spans="1:23" ht="15" customHeight="1" outlineLevel="1">
      <c r="A162" s="4" t="s">
        <v>987</v>
      </c>
      <c r="B162" s="10" t="s">
        <v>917</v>
      </c>
      <c r="C162" s="10" t="s">
        <v>988</v>
      </c>
      <c r="D162" s="10" t="s">
        <v>989</v>
      </c>
      <c r="E162" s="11" t="s">
        <v>954</v>
      </c>
      <c r="F162" s="10" t="s">
        <v>30</v>
      </c>
      <c r="G162" s="10" t="s">
        <v>28</v>
      </c>
      <c r="H162" s="11" t="s">
        <v>954</v>
      </c>
      <c r="I162" s="10" t="s">
        <v>30</v>
      </c>
      <c r="J162" s="12"/>
      <c r="K162" s="13" t="str">
        <f>IF(J162="Won","✔","")</f>
        <v/>
      </c>
      <c r="L162" s="10"/>
      <c r="M162" s="14">
        <v>3233</v>
      </c>
      <c r="N162" s="10"/>
      <c r="O162" s="10"/>
      <c r="P162" s="10"/>
      <c r="Q162" s="10"/>
      <c r="R162" s="10"/>
      <c r="S162" s="12"/>
      <c r="T162" s="14"/>
      <c r="U162" s="14"/>
      <c r="V162" s="10"/>
      <c r="W162" s="10"/>
    </row>
    <row r="163" spans="1:23" ht="15" customHeight="1" outlineLevel="1">
      <c r="A163" s="4" t="s">
        <v>990</v>
      </c>
      <c r="B163" s="10" t="s">
        <v>953</v>
      </c>
      <c r="C163" s="10" t="s">
        <v>25</v>
      </c>
      <c r="D163" s="10" t="s">
        <v>148</v>
      </c>
      <c r="E163" s="11" t="s">
        <v>991</v>
      </c>
      <c r="F163" s="10" t="s">
        <v>149</v>
      </c>
      <c r="G163" s="10" t="s">
        <v>28</v>
      </c>
      <c r="H163" s="11"/>
      <c r="I163" s="10" t="s">
        <v>30</v>
      </c>
      <c r="J163" s="12" t="s">
        <v>37</v>
      </c>
      <c r="K163" s="13" t="str">
        <f>IF(J163="Won","✔","")</f>
        <v/>
      </c>
      <c r="L163" s="10"/>
      <c r="M163" s="14">
        <v>94905</v>
      </c>
      <c r="N163" s="10"/>
      <c r="O163" s="10"/>
      <c r="P163" s="10"/>
      <c r="Q163" s="10"/>
      <c r="R163" s="10"/>
      <c r="S163" s="12"/>
      <c r="T163" s="14"/>
      <c r="U163" s="14"/>
      <c r="V163" s="10"/>
      <c r="W163" s="10"/>
    </row>
    <row r="164" spans="1:23" ht="15" customHeight="1" outlineLevel="1">
      <c r="A164" s="4" t="s">
        <v>992</v>
      </c>
      <c r="B164" s="5" t="s">
        <v>970</v>
      </c>
      <c r="C164" s="5" t="s">
        <v>108</v>
      </c>
      <c r="D164" s="5" t="s">
        <v>321</v>
      </c>
      <c r="E164" s="6" t="s">
        <v>993</v>
      </c>
      <c r="F164" s="5" t="s">
        <v>149</v>
      </c>
      <c r="G164" s="5" t="s">
        <v>35</v>
      </c>
      <c r="H164" s="6" t="s">
        <v>322</v>
      </c>
      <c r="I164" s="5" t="s">
        <v>30</v>
      </c>
      <c r="J164" s="7" t="s">
        <v>31</v>
      </c>
      <c r="K164" s="7" t="str">
        <f>IF(J164="Won","✔","")</f>
        <v>✔</v>
      </c>
      <c r="L164" s="5" t="s">
        <v>119</v>
      </c>
      <c r="M164" s="8">
        <v>55969</v>
      </c>
      <c r="N164" s="5" t="s">
        <v>323</v>
      </c>
      <c r="O164" s="5"/>
      <c r="P164" s="5"/>
      <c r="Q164" s="5"/>
      <c r="R164" s="5"/>
      <c r="S164" s="9"/>
      <c r="T164" s="8"/>
      <c r="U164" s="8"/>
      <c r="V164" s="5"/>
      <c r="W164" s="5"/>
    </row>
    <row r="165" spans="1:23" ht="15" customHeight="1" outlineLevel="1">
      <c r="A165" s="4" t="s">
        <v>994</v>
      </c>
      <c r="B165" s="10" t="s">
        <v>970</v>
      </c>
      <c r="C165" s="10" t="s">
        <v>580</v>
      </c>
      <c r="D165" s="10" t="s">
        <v>995</v>
      </c>
      <c r="E165" s="11" t="s">
        <v>961</v>
      </c>
      <c r="F165" s="10" t="s">
        <v>30</v>
      </c>
      <c r="G165" s="10" t="s">
        <v>28</v>
      </c>
      <c r="H165" s="11"/>
      <c r="I165" s="10" t="s">
        <v>30</v>
      </c>
      <c r="J165" s="12" t="s">
        <v>37</v>
      </c>
      <c r="K165" s="13" t="str">
        <f>IF(J165="Won","✔","")</f>
        <v/>
      </c>
      <c r="L165" s="10" t="s">
        <v>45</v>
      </c>
      <c r="M165" s="14">
        <v>590</v>
      </c>
      <c r="N165" s="10"/>
      <c r="O165" s="10"/>
      <c r="P165" s="10"/>
      <c r="Q165" s="10"/>
      <c r="R165" s="10"/>
      <c r="S165" s="12"/>
      <c r="T165" s="14"/>
      <c r="U165" s="14"/>
      <c r="V165" s="10"/>
      <c r="W165" s="10"/>
    </row>
    <row r="166" spans="1:23" ht="15" customHeight="1" outlineLevel="1">
      <c r="A166" s="4" t="s">
        <v>996</v>
      </c>
      <c r="B166" s="10" t="s">
        <v>970</v>
      </c>
      <c r="C166" s="10" t="s">
        <v>997</v>
      </c>
      <c r="D166" s="10" t="s">
        <v>998</v>
      </c>
      <c r="E166" s="11" t="s">
        <v>965</v>
      </c>
      <c r="F166" s="10" t="s">
        <v>30</v>
      </c>
      <c r="G166" s="10" t="s">
        <v>28</v>
      </c>
      <c r="H166" s="11" t="s">
        <v>965</v>
      </c>
      <c r="I166" s="10" t="s">
        <v>30</v>
      </c>
      <c r="J166" s="12" t="s">
        <v>37</v>
      </c>
      <c r="K166" s="13" t="str">
        <f>IF(J166="Won","✔","")</f>
        <v/>
      </c>
      <c r="L166" s="10"/>
      <c r="M166" s="14">
        <v>73592</v>
      </c>
      <c r="N166" s="10"/>
      <c r="O166" s="10"/>
      <c r="P166" s="10"/>
      <c r="Q166" s="10"/>
      <c r="R166" s="10"/>
      <c r="S166" s="12"/>
      <c r="T166" s="14"/>
      <c r="U166" s="14"/>
      <c r="V166" s="10"/>
      <c r="W166" s="10"/>
    </row>
    <row r="167" spans="1:23" ht="15" customHeight="1" outlineLevel="1">
      <c r="A167" s="4" t="s">
        <v>999</v>
      </c>
      <c r="B167" s="10" t="s">
        <v>941</v>
      </c>
      <c r="C167" s="10" t="s">
        <v>108</v>
      </c>
      <c r="D167" s="10" t="s">
        <v>1000</v>
      </c>
      <c r="E167" s="11" t="s">
        <v>970</v>
      </c>
      <c r="F167" s="10" t="s">
        <v>206</v>
      </c>
      <c r="G167" s="10" t="s">
        <v>585</v>
      </c>
      <c r="H167" s="11" t="s">
        <v>970</v>
      </c>
      <c r="I167" s="10" t="s">
        <v>44</v>
      </c>
      <c r="J167" s="12" t="s">
        <v>37</v>
      </c>
      <c r="K167" s="13" t="str">
        <f>IF(J167="Won","✔","")</f>
        <v/>
      </c>
      <c r="L167" s="10" t="s">
        <v>233</v>
      </c>
      <c r="M167" s="14">
        <v>166210</v>
      </c>
      <c r="N167" s="10"/>
      <c r="O167" s="10"/>
      <c r="P167" s="10"/>
      <c r="Q167" s="10"/>
      <c r="R167" s="10"/>
      <c r="S167" s="12"/>
      <c r="T167" s="14"/>
      <c r="U167" s="14"/>
      <c r="V167" s="10"/>
      <c r="W167" s="10"/>
    </row>
    <row r="168" spans="1:23" ht="15" customHeight="1" outlineLevel="1">
      <c r="A168" s="4" t="s">
        <v>1001</v>
      </c>
      <c r="B168" s="10">
        <v>188408</v>
      </c>
      <c r="C168" s="10" t="s">
        <v>108</v>
      </c>
      <c r="D168" s="10" t="s">
        <v>1002</v>
      </c>
      <c r="E168" s="11" t="s">
        <v>1003</v>
      </c>
      <c r="F168" s="10" t="s">
        <v>149</v>
      </c>
      <c r="G168" s="10" t="s">
        <v>35</v>
      </c>
      <c r="H168" s="11"/>
      <c r="I168" s="10" t="s">
        <v>30</v>
      </c>
      <c r="J168" s="12" t="s">
        <v>37</v>
      </c>
      <c r="K168" s="13" t="str">
        <f>IF(J168="Won","✔","")</f>
        <v/>
      </c>
      <c r="L168" s="10" t="s">
        <v>119</v>
      </c>
      <c r="M168" s="14">
        <v>188408</v>
      </c>
      <c r="N168" s="10"/>
      <c r="O168" s="10"/>
      <c r="P168" s="10"/>
      <c r="Q168" s="10"/>
      <c r="R168" s="10"/>
      <c r="S168" s="12"/>
      <c r="T168" s="14"/>
      <c r="U168" s="14"/>
      <c r="V168" s="10"/>
      <c r="W168" s="10"/>
    </row>
    <row r="169" spans="1:23" ht="15" customHeight="1" outlineLevel="1">
      <c r="A169" s="4" t="s">
        <v>1004</v>
      </c>
      <c r="B169" s="10" t="s">
        <v>891</v>
      </c>
      <c r="C169" s="10" t="s">
        <v>73</v>
      </c>
      <c r="D169" s="10" t="s">
        <v>1005</v>
      </c>
      <c r="E169" s="11" t="s">
        <v>961</v>
      </c>
      <c r="F169" s="10" t="s">
        <v>30</v>
      </c>
      <c r="G169" s="10" t="s">
        <v>28</v>
      </c>
      <c r="H169" s="11"/>
      <c r="I169" s="10" t="s">
        <v>30</v>
      </c>
      <c r="J169" s="12" t="s">
        <v>37</v>
      </c>
      <c r="K169" s="13" t="str">
        <f>IF(J169="Won","✔","")</f>
        <v/>
      </c>
      <c r="L169" s="10"/>
      <c r="M169" s="14">
        <v>4989</v>
      </c>
      <c r="N169" s="10"/>
      <c r="O169" s="10"/>
      <c r="P169" s="10"/>
      <c r="Q169" s="10"/>
      <c r="R169" s="10"/>
      <c r="S169" s="12"/>
      <c r="T169" s="14"/>
      <c r="U169" s="14"/>
      <c r="V169" s="10"/>
      <c r="W169" s="10"/>
    </row>
    <row r="170" spans="1:23" ht="15" customHeight="1" outlineLevel="1">
      <c r="A170" s="4" t="s">
        <v>1006</v>
      </c>
      <c r="B170" s="10" t="s">
        <v>891</v>
      </c>
      <c r="C170" s="10" t="s">
        <v>102</v>
      </c>
      <c r="D170" s="10" t="s">
        <v>1007</v>
      </c>
      <c r="E170" s="11" t="s">
        <v>961</v>
      </c>
      <c r="F170" s="10" t="s">
        <v>30</v>
      </c>
      <c r="G170" s="10" t="s">
        <v>28</v>
      </c>
      <c r="H170" s="11" t="s">
        <v>961</v>
      </c>
      <c r="I170" s="10" t="s">
        <v>30</v>
      </c>
      <c r="J170" s="12" t="s">
        <v>37</v>
      </c>
      <c r="K170" s="13" t="str">
        <f>IF(J170="Won","✔","")</f>
        <v/>
      </c>
      <c r="L170" s="10" t="s">
        <v>45</v>
      </c>
      <c r="M170" s="14">
        <v>10131</v>
      </c>
      <c r="N170" s="10"/>
      <c r="O170" s="10" t="s">
        <v>1008</v>
      </c>
      <c r="P170" s="10"/>
      <c r="Q170" s="10"/>
      <c r="R170" s="10"/>
      <c r="S170" s="12"/>
      <c r="T170" s="14"/>
      <c r="U170" s="14"/>
      <c r="V170" s="10"/>
      <c r="W170" s="10"/>
    </row>
    <row r="171" spans="1:23" ht="15" customHeight="1" outlineLevel="1">
      <c r="A171" s="4" t="s">
        <v>1009</v>
      </c>
      <c r="B171" s="10" t="s">
        <v>965</v>
      </c>
      <c r="C171" s="10" t="s">
        <v>386</v>
      </c>
      <c r="D171" s="10" t="s">
        <v>1010</v>
      </c>
      <c r="E171" s="11" t="s">
        <v>322</v>
      </c>
      <c r="F171" s="10" t="s">
        <v>149</v>
      </c>
      <c r="G171" s="10" t="s">
        <v>35</v>
      </c>
      <c r="H171" s="11"/>
      <c r="I171" s="10"/>
      <c r="J171" s="12"/>
      <c r="K171" s="13" t="str">
        <f>IF(J171="Won","✔","")</f>
        <v/>
      </c>
      <c r="L171" s="10"/>
      <c r="M171" s="14">
        <v>274100</v>
      </c>
      <c r="N171" s="10"/>
      <c r="O171" s="10"/>
      <c r="P171" s="10"/>
      <c r="Q171" s="10"/>
      <c r="R171" s="10"/>
      <c r="S171" s="12"/>
      <c r="T171" s="14"/>
      <c r="U171" s="14"/>
      <c r="V171" s="10"/>
      <c r="W171" s="10"/>
    </row>
    <row r="172" spans="1:23" ht="15" customHeight="1" outlineLevel="1">
      <c r="A172" s="4" t="s">
        <v>1011</v>
      </c>
      <c r="B172" s="10" t="s">
        <v>953</v>
      </c>
      <c r="C172" s="10" t="s">
        <v>108</v>
      </c>
      <c r="D172" s="10" t="s">
        <v>1012</v>
      </c>
      <c r="E172" s="11" t="s">
        <v>974</v>
      </c>
      <c r="F172" s="10" t="s">
        <v>30</v>
      </c>
      <c r="G172" s="10" t="s">
        <v>35</v>
      </c>
      <c r="H172" s="11"/>
      <c r="I172" s="10" t="s">
        <v>30</v>
      </c>
      <c r="J172" s="12" t="s">
        <v>37</v>
      </c>
      <c r="K172" s="13" t="str">
        <f>IF(J172="Won","✔","")</f>
        <v/>
      </c>
      <c r="L172" s="10" t="s">
        <v>119</v>
      </c>
      <c r="M172" s="14">
        <v>3638</v>
      </c>
      <c r="N172" s="10"/>
      <c r="O172" s="10"/>
      <c r="P172" s="10"/>
      <c r="Q172" s="10"/>
      <c r="R172" s="10"/>
      <c r="S172" s="12"/>
      <c r="T172" s="14"/>
      <c r="U172" s="14"/>
      <c r="V172" s="10"/>
      <c r="W172" s="10"/>
    </row>
    <row r="173" spans="1:23" ht="15" customHeight="1" outlineLevel="1">
      <c r="A173" s="4" t="s">
        <v>1013</v>
      </c>
      <c r="B173" s="10" t="s">
        <v>991</v>
      </c>
      <c r="C173" s="10" t="s">
        <v>860</v>
      </c>
      <c r="D173" s="10" t="s">
        <v>1014</v>
      </c>
      <c r="E173" s="11" t="s">
        <v>1015</v>
      </c>
      <c r="F173" s="10" t="s">
        <v>42</v>
      </c>
      <c r="G173" s="10" t="s">
        <v>28</v>
      </c>
      <c r="H173" s="11" t="s">
        <v>961</v>
      </c>
      <c r="I173" s="10" t="s">
        <v>44</v>
      </c>
      <c r="J173" s="12" t="s">
        <v>37</v>
      </c>
      <c r="K173" s="13" t="str">
        <f>IF(J173="Won","✔","")</f>
        <v/>
      </c>
      <c r="L173" s="10" t="s">
        <v>168</v>
      </c>
      <c r="M173" s="14">
        <v>13351</v>
      </c>
      <c r="N173" s="10"/>
      <c r="O173" s="10" t="s">
        <v>1016</v>
      </c>
      <c r="P173" s="10"/>
      <c r="Q173" s="10"/>
      <c r="R173" s="10"/>
      <c r="S173" s="12"/>
      <c r="T173" s="14"/>
      <c r="U173" s="14"/>
      <c r="V173" s="10"/>
      <c r="W173" s="10"/>
    </row>
    <row r="174" spans="1:23" ht="15" customHeight="1" outlineLevel="1">
      <c r="A174" s="4" t="s">
        <v>1017</v>
      </c>
      <c r="B174" s="10" t="s">
        <v>961</v>
      </c>
      <c r="C174" s="10" t="s">
        <v>386</v>
      </c>
      <c r="D174" s="10" t="s">
        <v>1018</v>
      </c>
      <c r="E174" s="11" t="s">
        <v>1019</v>
      </c>
      <c r="F174" s="10" t="s">
        <v>149</v>
      </c>
      <c r="G174" s="10" t="s">
        <v>35</v>
      </c>
      <c r="H174" s="11" t="s">
        <v>322</v>
      </c>
      <c r="I174" s="10" t="s">
        <v>44</v>
      </c>
      <c r="J174" s="12" t="s">
        <v>37</v>
      </c>
      <c r="K174" s="13" t="str">
        <f>IF(J174="Won","✔","")</f>
        <v/>
      </c>
      <c r="L174" s="10" t="s">
        <v>51</v>
      </c>
      <c r="M174" s="14">
        <v>188408</v>
      </c>
      <c r="N174" s="10"/>
      <c r="O174" s="10"/>
      <c r="P174" s="10"/>
      <c r="Q174" s="10"/>
      <c r="R174" s="10"/>
      <c r="S174" s="12"/>
      <c r="T174" s="14"/>
      <c r="U174" s="14"/>
      <c r="V174" s="10"/>
      <c r="W174" s="10"/>
    </row>
    <row r="175" spans="1:23" ht="15" customHeight="1" outlineLevel="1">
      <c r="A175" s="4" t="s">
        <v>1020</v>
      </c>
      <c r="B175" s="10" t="s">
        <v>961</v>
      </c>
      <c r="C175" s="10" t="s">
        <v>1021</v>
      </c>
      <c r="D175" s="10" t="s">
        <v>1022</v>
      </c>
      <c r="E175" s="11" t="s">
        <v>962</v>
      </c>
      <c r="F175" s="10" t="s">
        <v>30</v>
      </c>
      <c r="G175" s="10" t="s">
        <v>28</v>
      </c>
      <c r="H175" s="11" t="s">
        <v>962</v>
      </c>
      <c r="I175" s="10" t="s">
        <v>30</v>
      </c>
      <c r="J175" s="12" t="s">
        <v>37</v>
      </c>
      <c r="K175" s="13" t="str">
        <f>IF(J175="Won","✔","")</f>
        <v/>
      </c>
      <c r="L175" s="10" t="s">
        <v>1023</v>
      </c>
      <c r="M175" s="14">
        <v>2696</v>
      </c>
      <c r="N175" s="10"/>
      <c r="O175" s="10"/>
      <c r="P175" s="10"/>
      <c r="Q175" s="10"/>
      <c r="R175" s="10"/>
      <c r="S175" s="12"/>
      <c r="T175" s="14"/>
      <c r="U175" s="14"/>
      <c r="V175" s="10"/>
      <c r="W175" s="10"/>
    </row>
    <row r="176" spans="1:23" ht="15" customHeight="1" outlineLevel="1">
      <c r="A176" s="4" t="s">
        <v>1024</v>
      </c>
      <c r="B176" s="10" t="s">
        <v>962</v>
      </c>
      <c r="C176" s="10" t="s">
        <v>376</v>
      </c>
      <c r="D176" s="10" t="s">
        <v>1025</v>
      </c>
      <c r="E176" s="11" t="s">
        <v>962</v>
      </c>
      <c r="F176" s="10" t="s">
        <v>42</v>
      </c>
      <c r="G176" s="10" t="s">
        <v>28</v>
      </c>
      <c r="H176" s="11" t="s">
        <v>962</v>
      </c>
      <c r="I176" s="10" t="s">
        <v>238</v>
      </c>
      <c r="J176" s="12" t="s">
        <v>37</v>
      </c>
      <c r="K176" s="13" t="str">
        <f>IF(J176="Won","✔","")</f>
        <v/>
      </c>
      <c r="L176" s="10" t="s">
        <v>168</v>
      </c>
      <c r="M176" s="14">
        <v>13351</v>
      </c>
      <c r="N176" s="10"/>
      <c r="O176" s="10"/>
      <c r="P176" s="10"/>
      <c r="Q176" s="10"/>
      <c r="R176" s="10"/>
      <c r="S176" s="12"/>
      <c r="T176" s="14"/>
      <c r="U176" s="14"/>
      <c r="V176" s="10"/>
      <c r="W176" s="10"/>
    </row>
    <row r="177" spans="1:23" ht="15" customHeight="1" outlineLevel="1">
      <c r="A177" s="4" t="s">
        <v>1026</v>
      </c>
      <c r="B177" s="10" t="s">
        <v>962</v>
      </c>
      <c r="C177" s="10" t="s">
        <v>1027</v>
      </c>
      <c r="D177" s="10" t="s">
        <v>1025</v>
      </c>
      <c r="E177" s="11" t="s">
        <v>1028</v>
      </c>
      <c r="F177" s="10" t="s">
        <v>42</v>
      </c>
      <c r="G177" s="10" t="s">
        <v>28</v>
      </c>
      <c r="H177" s="11" t="s">
        <v>1029</v>
      </c>
      <c r="I177" s="10" t="s">
        <v>30</v>
      </c>
      <c r="J177" s="12" t="s">
        <v>37</v>
      </c>
      <c r="K177" s="13" t="str">
        <f>IF(J177="Won","✔","")</f>
        <v/>
      </c>
      <c r="L177" s="10" t="s">
        <v>168</v>
      </c>
      <c r="M177" s="14">
        <v>13351</v>
      </c>
      <c r="N177" s="10"/>
      <c r="O177" s="10"/>
      <c r="P177" s="10"/>
      <c r="Q177" s="10"/>
      <c r="R177" s="10"/>
      <c r="S177" s="12"/>
      <c r="T177" s="14"/>
      <c r="U177" s="14"/>
      <c r="V177" s="10"/>
      <c r="W177" s="10"/>
    </row>
    <row r="178" spans="1:23" ht="15" customHeight="1" outlineLevel="1">
      <c r="A178" s="4" t="s">
        <v>1030</v>
      </c>
      <c r="B178" s="10" t="s">
        <v>962</v>
      </c>
      <c r="C178" s="10" t="s">
        <v>235</v>
      </c>
      <c r="D178" s="10" t="s">
        <v>1031</v>
      </c>
      <c r="E178" s="11" t="s">
        <v>322</v>
      </c>
      <c r="F178" s="10"/>
      <c r="G178" s="10"/>
      <c r="H178" s="11"/>
      <c r="I178" s="10"/>
      <c r="J178" s="12"/>
      <c r="K178" s="13" t="str">
        <f>IF(J178="Won","✔","")</f>
        <v/>
      </c>
      <c r="L178" s="10"/>
      <c r="M178" s="14">
        <v>132741</v>
      </c>
      <c r="N178" s="10"/>
      <c r="O178" s="10"/>
      <c r="P178" s="10"/>
      <c r="Q178" s="10"/>
      <c r="R178" s="10"/>
      <c r="S178" s="12"/>
      <c r="T178" s="14"/>
      <c r="U178" s="14"/>
      <c r="V178" s="10"/>
      <c r="W178" s="10"/>
    </row>
    <row r="179" spans="1:23" ht="15" customHeight="1" outlineLevel="1">
      <c r="A179" s="4" t="s">
        <v>1032</v>
      </c>
      <c r="B179" s="10" t="s">
        <v>974</v>
      </c>
      <c r="C179" s="10" t="s">
        <v>1033</v>
      </c>
      <c r="D179" s="10" t="s">
        <v>1034</v>
      </c>
      <c r="E179" s="11" t="s">
        <v>1035</v>
      </c>
      <c r="F179" s="10" t="s">
        <v>163</v>
      </c>
      <c r="G179" s="10" t="s">
        <v>35</v>
      </c>
      <c r="H179" s="11"/>
      <c r="I179" s="10" t="s">
        <v>44</v>
      </c>
      <c r="J179" s="12"/>
      <c r="K179" s="13" t="str">
        <f>IF(J179="Won","✔","")</f>
        <v/>
      </c>
      <c r="L179" s="10"/>
      <c r="M179" s="14"/>
      <c r="N179" s="10"/>
      <c r="O179" s="10"/>
      <c r="P179" s="10"/>
      <c r="Q179" s="10"/>
      <c r="R179" s="10"/>
      <c r="S179" s="12"/>
      <c r="T179" s="14"/>
      <c r="U179" s="14"/>
      <c r="V179" s="10"/>
      <c r="W179" s="10"/>
    </row>
    <row r="180" spans="1:23" ht="15" customHeight="1" outlineLevel="1">
      <c r="A180" s="4" t="s">
        <v>1036</v>
      </c>
      <c r="B180" s="10" t="s">
        <v>974</v>
      </c>
      <c r="C180" s="10" t="s">
        <v>108</v>
      </c>
      <c r="D180" s="10" t="s">
        <v>467</v>
      </c>
      <c r="E180" s="11" t="s">
        <v>1019</v>
      </c>
      <c r="F180" s="10" t="s">
        <v>27</v>
      </c>
      <c r="G180" s="10" t="s">
        <v>28</v>
      </c>
      <c r="H180" s="11"/>
      <c r="I180" s="10"/>
      <c r="J180" s="12"/>
      <c r="K180" s="13" t="str">
        <f>IF(J180="Won","✔","")</f>
        <v/>
      </c>
      <c r="L180" s="10"/>
      <c r="M180" s="14">
        <v>19226</v>
      </c>
      <c r="N180" s="10"/>
      <c r="O180" s="10"/>
      <c r="P180" s="10"/>
      <c r="Q180" s="10"/>
      <c r="R180" s="10"/>
      <c r="S180" s="12"/>
      <c r="T180" s="14"/>
      <c r="U180" s="14"/>
      <c r="V180" s="10"/>
      <c r="W180" s="10"/>
    </row>
    <row r="181" spans="1:23" ht="15" customHeight="1" outlineLevel="1">
      <c r="A181" s="4" t="s">
        <v>1037</v>
      </c>
      <c r="B181" s="10" t="s">
        <v>980</v>
      </c>
      <c r="C181" s="10" t="s">
        <v>152</v>
      </c>
      <c r="D181" s="10" t="s">
        <v>1038</v>
      </c>
      <c r="E181" s="11" t="s">
        <v>993</v>
      </c>
      <c r="F181" s="10" t="s">
        <v>771</v>
      </c>
      <c r="G181" s="10" t="s">
        <v>35</v>
      </c>
      <c r="H181" s="11"/>
      <c r="I181" s="10" t="s">
        <v>30</v>
      </c>
      <c r="J181" s="12"/>
      <c r="K181" s="13" t="str">
        <f>IF(J181="Won","✔","")</f>
        <v/>
      </c>
      <c r="L181" s="10"/>
      <c r="M181" s="14">
        <v>33173</v>
      </c>
      <c r="N181" s="10"/>
      <c r="O181" s="10" t="s">
        <v>1039</v>
      </c>
      <c r="P181" s="10"/>
      <c r="Q181" s="10"/>
      <c r="R181" s="10"/>
      <c r="S181" s="12"/>
      <c r="T181" s="14"/>
      <c r="U181" s="14"/>
      <c r="V181" s="10"/>
      <c r="W181" s="10"/>
    </row>
    <row r="182" spans="1:23" ht="15" customHeight="1" outlineLevel="1">
      <c r="A182" s="4" t="s">
        <v>1040</v>
      </c>
      <c r="B182" s="10" t="s">
        <v>980</v>
      </c>
      <c r="C182" s="10" t="s">
        <v>608</v>
      </c>
      <c r="D182" s="10" t="s">
        <v>1041</v>
      </c>
      <c r="E182" s="11" t="s">
        <v>1042</v>
      </c>
      <c r="F182" s="10" t="s">
        <v>27</v>
      </c>
      <c r="G182" s="10" t="s">
        <v>28</v>
      </c>
      <c r="H182" s="11"/>
      <c r="I182" s="10" t="s">
        <v>44</v>
      </c>
      <c r="J182" s="12"/>
      <c r="K182" s="13" t="str">
        <f>IF(J182="Won","✔","")</f>
        <v/>
      </c>
      <c r="L182" s="10"/>
      <c r="M182" s="14"/>
      <c r="N182" s="10"/>
      <c r="O182" s="10"/>
      <c r="P182" s="10"/>
      <c r="Q182" s="10"/>
      <c r="R182" s="10"/>
      <c r="S182" s="12"/>
      <c r="T182" s="14"/>
      <c r="U182" s="14"/>
      <c r="V182" s="10"/>
      <c r="W182" s="10"/>
    </row>
    <row r="183" spans="1:23" ht="15" customHeight="1" outlineLevel="1">
      <c r="A183" s="4" t="s">
        <v>1043</v>
      </c>
      <c r="B183" s="5" t="s">
        <v>980</v>
      </c>
      <c r="C183" s="5" t="s">
        <v>53</v>
      </c>
      <c r="D183" s="5" t="s">
        <v>826</v>
      </c>
      <c r="E183" s="6" t="s">
        <v>1044</v>
      </c>
      <c r="F183" s="5" t="s">
        <v>27</v>
      </c>
      <c r="G183" s="5" t="s">
        <v>35</v>
      </c>
      <c r="H183" s="6"/>
      <c r="I183" s="5" t="s">
        <v>144</v>
      </c>
      <c r="J183" s="7" t="s">
        <v>31</v>
      </c>
      <c r="K183" s="7" t="str">
        <f>IF(J183="Won","✔","")</f>
        <v>✔</v>
      </c>
      <c r="L183" s="5" t="s">
        <v>51</v>
      </c>
      <c r="M183" s="8">
        <v>55575</v>
      </c>
      <c r="N183" s="5" t="s">
        <v>828</v>
      </c>
      <c r="O183" s="5"/>
      <c r="P183" s="5"/>
      <c r="Q183" s="5"/>
      <c r="R183" s="5"/>
      <c r="S183" s="9"/>
      <c r="T183" s="8"/>
      <c r="U183" s="8"/>
      <c r="V183" s="5"/>
      <c r="W183" s="5"/>
    </row>
    <row r="184" spans="1:23" ht="15" customHeight="1" outlineLevel="1">
      <c r="A184" s="4" t="s">
        <v>1045</v>
      </c>
      <c r="B184" s="10" t="s">
        <v>980</v>
      </c>
      <c r="C184" s="10" t="s">
        <v>53</v>
      </c>
      <c r="D184" s="10" t="s">
        <v>1046</v>
      </c>
      <c r="E184" s="11" t="s">
        <v>1028</v>
      </c>
      <c r="F184" s="10" t="s">
        <v>163</v>
      </c>
      <c r="G184" s="10" t="s">
        <v>35</v>
      </c>
      <c r="H184" s="11"/>
      <c r="I184" s="10"/>
      <c r="J184" s="12"/>
      <c r="K184" s="13" t="str">
        <f>IF(J184="Won","✔","")</f>
        <v/>
      </c>
      <c r="L184" s="10"/>
      <c r="M184" s="14"/>
      <c r="N184" s="10"/>
      <c r="O184" s="10"/>
      <c r="P184" s="10"/>
      <c r="Q184" s="10"/>
      <c r="R184" s="10"/>
      <c r="S184" s="12"/>
      <c r="T184" s="14"/>
      <c r="U184" s="14"/>
      <c r="V184" s="10"/>
      <c r="W184" s="10"/>
    </row>
    <row r="185" spans="1:23" ht="15" customHeight="1" outlineLevel="1">
      <c r="A185" s="4" t="s">
        <v>1047</v>
      </c>
      <c r="B185" s="10" t="s">
        <v>962</v>
      </c>
      <c r="C185" s="10" t="s">
        <v>638</v>
      </c>
      <c r="D185" s="10" t="s">
        <v>1048</v>
      </c>
      <c r="E185" s="11" t="s">
        <v>1042</v>
      </c>
      <c r="F185" s="10"/>
      <c r="G185" s="10"/>
      <c r="H185" s="11"/>
      <c r="I185" s="10" t="s">
        <v>30</v>
      </c>
      <c r="J185" s="12"/>
      <c r="K185" s="13" t="str">
        <f>IF(J185="Won","✔","")</f>
        <v/>
      </c>
      <c r="L185" s="10"/>
      <c r="M185" s="14"/>
      <c r="N185" s="10"/>
      <c r="O185" s="10"/>
      <c r="P185" s="10"/>
      <c r="Q185" s="10"/>
      <c r="R185" s="10"/>
      <c r="S185" s="12"/>
      <c r="T185" s="14"/>
      <c r="U185" s="14"/>
      <c r="V185" s="10"/>
      <c r="W185" s="10"/>
    </row>
    <row r="186" spans="1:23" ht="15" customHeight="1" outlineLevel="1">
      <c r="A186" s="4" t="s">
        <v>1049</v>
      </c>
      <c r="B186" s="10" t="s">
        <v>322</v>
      </c>
      <c r="C186" s="10" t="s">
        <v>638</v>
      </c>
      <c r="D186" s="10" t="s">
        <v>1050</v>
      </c>
      <c r="E186" s="11"/>
      <c r="F186" s="10"/>
      <c r="G186" s="10"/>
      <c r="H186" s="11"/>
      <c r="I186" s="10"/>
      <c r="J186" s="12"/>
      <c r="K186" s="13" t="str">
        <f>IF(J186="Won","✔","")</f>
        <v/>
      </c>
      <c r="L186" s="10"/>
      <c r="M186" s="14"/>
      <c r="N186" s="10"/>
      <c r="O186" s="10"/>
      <c r="P186" s="10"/>
      <c r="Q186" s="10"/>
      <c r="R186" s="10"/>
      <c r="S186" s="12"/>
      <c r="T186" s="14"/>
      <c r="U186" s="14"/>
      <c r="V186" s="10"/>
      <c r="W186" s="10"/>
    </row>
    <row r="187" spans="1:23" ht="15" customHeight="1" outlineLevel="1">
      <c r="A187" s="4" t="s">
        <v>1051</v>
      </c>
      <c r="B187" s="10" t="s">
        <v>322</v>
      </c>
      <c r="C187" s="10" t="s">
        <v>124</v>
      </c>
      <c r="D187" s="10" t="s">
        <v>1052</v>
      </c>
      <c r="E187" s="11" t="s">
        <v>1042</v>
      </c>
      <c r="F187" s="10" t="s">
        <v>30</v>
      </c>
      <c r="G187" s="10" t="s">
        <v>35</v>
      </c>
      <c r="H187" s="11"/>
      <c r="I187" s="10" t="s">
        <v>30</v>
      </c>
      <c r="J187" s="12" t="s">
        <v>37</v>
      </c>
      <c r="K187" s="13" t="str">
        <f>IF(J187="Won","✔","")</f>
        <v/>
      </c>
      <c r="L187" s="10"/>
      <c r="M187" s="14">
        <v>3263</v>
      </c>
      <c r="N187" s="10"/>
      <c r="O187" s="10"/>
      <c r="P187" s="10"/>
      <c r="Q187" s="10"/>
      <c r="R187" s="10"/>
      <c r="S187" s="12"/>
      <c r="T187" s="14"/>
      <c r="U187" s="14"/>
      <c r="V187" s="10"/>
      <c r="W187" s="10"/>
    </row>
    <row r="188" spans="1:23" ht="15" customHeight="1" outlineLevel="1">
      <c r="A188" s="4" t="s">
        <v>1053</v>
      </c>
      <c r="B188" s="10" t="s">
        <v>322</v>
      </c>
      <c r="C188" s="10" t="s">
        <v>102</v>
      </c>
      <c r="D188" s="10" t="s">
        <v>1054</v>
      </c>
      <c r="E188" s="11"/>
      <c r="F188" s="10"/>
      <c r="G188" s="10"/>
      <c r="H188" s="11"/>
      <c r="I188" s="10"/>
      <c r="J188" s="12"/>
      <c r="K188" s="13" t="str">
        <f>IF(J188="Won","✔","")</f>
        <v/>
      </c>
      <c r="L188" s="10"/>
      <c r="M188" s="14"/>
      <c r="N188" s="10"/>
      <c r="O188" s="10"/>
      <c r="P188" s="10"/>
      <c r="Q188" s="10"/>
      <c r="R188" s="10"/>
      <c r="S188" s="12"/>
      <c r="T188" s="14"/>
      <c r="U188" s="14"/>
      <c r="V188" s="10"/>
      <c r="W188" s="10"/>
    </row>
  </sheetData>
  <dataValidations count="5">
    <dataValidation type="list" allowBlank="1" sqref="F2:F189" xr:uid="{00000000-0002-0000-0100-000000000000}">
      <formula1>"SD,50% SD,100% SD,DD,50% DD,75% DD,100% DD,CD,75% CD,Bid Set,Permit,Email"</formula1>
      <formula2>0</formula2>
    </dataValidation>
    <dataValidation type="list" allowBlank="1" sqref="G2:G189" xr:uid="{00000000-0002-0000-0100-000001000000}">
      <formula1>"Hard Bid,Budget,Hard Bid (Fab Only),Design Assist,Install Only,Re-Price,ROM"</formula1>
      <formula2>0</formula2>
    </dataValidation>
    <dataValidation type="list" allowBlank="1" sqref="I2:I189" xr:uid="{00000000-0002-0000-0100-000002000000}">
      <formula1>"Email,BuildingConnected,Procore,ConstructConnect,In Person,Other"</formula1>
      <formula2>0</formula2>
    </dataValidation>
    <dataValidation type="list" allowBlank="1" sqref="J2:J189" xr:uid="{00000000-0002-0000-0100-000003000000}">
      <formula1>"Pending,Sent,Won,On Hold,Client Lost,Client Backed Out,Declined,Lost,No Bid"</formula1>
      <formula2>0</formula2>
    </dataValidation>
    <dataValidation type="list" allowBlank="1" sqref="L2:L189" xr:uid="{00000000-0002-0000-0100-000004000000}">
      <formula1>"Healthcare,Hospital,Commercial,Commercial TI,Dental,School,TI,Renovation,Residential,Vet"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1"/>
  <sheetViews>
    <sheetView zoomScaleNormal="100" workbookViewId="0">
      <pane ySplit="1" topLeftCell="A27" activePane="bottomLeft" state="frozen"/>
      <selection pane="bottomLeft" activeCell="H1" sqref="H1"/>
    </sheetView>
  </sheetViews>
  <sheetFormatPr defaultColWidth="8.7109375" defaultRowHeight="15"/>
  <cols>
    <col min="1" max="1" width="9" customWidth="1"/>
    <col min="2" max="2" width="6" customWidth="1"/>
    <col min="3" max="3" width="22" customWidth="1"/>
    <col min="4" max="4" width="38" customWidth="1"/>
    <col min="5" max="5" width="15" customWidth="1"/>
    <col min="6" max="6" width="14" customWidth="1"/>
    <col min="7" max="7" width="18" customWidth="1"/>
    <col min="8" max="8" width="11" customWidth="1"/>
    <col min="9" max="9" width="15" customWidth="1"/>
    <col min="10" max="10" width="13" customWidth="1"/>
    <col min="11" max="11" width="15" customWidth="1"/>
    <col min="12" max="12" width="14" customWidth="1"/>
    <col min="13" max="13" width="30" customWidth="1"/>
  </cols>
  <sheetData>
    <row r="1" spans="1:13" ht="18" customHeight="1">
      <c r="A1" s="1" t="s">
        <v>1055</v>
      </c>
      <c r="B1" s="1" t="s">
        <v>1056</v>
      </c>
      <c r="C1" s="1" t="s">
        <v>2</v>
      </c>
      <c r="D1" s="1" t="s">
        <v>1057</v>
      </c>
      <c r="E1" s="1" t="s">
        <v>1058</v>
      </c>
      <c r="F1" s="1" t="s">
        <v>1059</v>
      </c>
      <c r="G1" s="1" t="s">
        <v>1060</v>
      </c>
      <c r="H1" s="1" t="s">
        <v>1061</v>
      </c>
      <c r="I1" s="1" t="s">
        <v>1062</v>
      </c>
      <c r="J1" s="1" t="s">
        <v>1063</v>
      </c>
      <c r="K1" s="1" t="s">
        <v>1064</v>
      </c>
      <c r="L1" s="1" t="s">
        <v>1065</v>
      </c>
      <c r="M1" s="1" t="s">
        <v>16</v>
      </c>
    </row>
    <row r="2" spans="1:13" ht="15" customHeight="1">
      <c r="A2" s="25" t="s">
        <v>1066</v>
      </c>
      <c r="B2" s="26" t="s">
        <v>1067</v>
      </c>
      <c r="C2" s="27" t="s">
        <v>1068</v>
      </c>
      <c r="D2" s="27" t="s">
        <v>1069</v>
      </c>
      <c r="E2" s="28"/>
      <c r="F2" s="28">
        <f>SUMIFS('Change Order'!G:G,'Change Order'!B:B,A2,'Change Order'!H:H,"Approved")</f>
        <v>0</v>
      </c>
      <c r="G2" s="29" t="str">
        <f>IF(E2&lt;&gt;"",E2+F2,"")</f>
        <v/>
      </c>
      <c r="H2" s="30"/>
      <c r="I2" s="27"/>
      <c r="J2" s="27"/>
      <c r="K2" s="27"/>
      <c r="L2" s="27"/>
      <c r="M2" s="27"/>
    </row>
    <row r="3" spans="1:13" ht="15" customHeight="1">
      <c r="A3" s="25" t="s">
        <v>1070</v>
      </c>
      <c r="B3" s="31" t="s">
        <v>1071</v>
      </c>
      <c r="C3" s="20" t="s">
        <v>1072</v>
      </c>
      <c r="D3" s="20" t="s">
        <v>1073</v>
      </c>
      <c r="E3" s="32">
        <v>1600</v>
      </c>
      <c r="F3" s="32">
        <f>SUMIFS('Change Order'!G:G,'Change Order'!B:B,A3,'Change Order'!H:H,"Approved")</f>
        <v>0</v>
      </c>
      <c r="G3" s="33">
        <f>IF(E3&lt;&gt;"",E3+F3,"")</f>
        <v>1600</v>
      </c>
      <c r="H3" s="34"/>
      <c r="I3" s="20"/>
      <c r="J3" s="20"/>
      <c r="K3" s="20"/>
      <c r="L3" s="20"/>
      <c r="M3" s="20"/>
    </row>
    <row r="4" spans="1:13" ht="15" customHeight="1">
      <c r="A4" s="25" t="s">
        <v>1074</v>
      </c>
      <c r="B4" s="26" t="s">
        <v>1067</v>
      </c>
      <c r="C4" s="27" t="s">
        <v>1075</v>
      </c>
      <c r="D4" s="27" t="s">
        <v>1076</v>
      </c>
      <c r="E4" s="28">
        <v>5302</v>
      </c>
      <c r="F4" s="28">
        <f>SUMIFS('Change Order'!G:G,'Change Order'!B:B,A4,'Change Order'!H:H,"Approved")</f>
        <v>0</v>
      </c>
      <c r="G4" s="29">
        <f>IF(E4&lt;&gt;"",E4+F4,"")</f>
        <v>5302</v>
      </c>
      <c r="H4" s="30"/>
      <c r="I4" s="27"/>
      <c r="J4" s="27"/>
      <c r="K4" s="27"/>
      <c r="L4" s="27"/>
      <c r="M4" s="27"/>
    </row>
    <row r="5" spans="1:13" ht="15" customHeight="1">
      <c r="A5" s="25" t="s">
        <v>1077</v>
      </c>
      <c r="B5" s="26" t="s">
        <v>1067</v>
      </c>
      <c r="C5" s="27" t="s">
        <v>64</v>
      </c>
      <c r="D5" s="27" t="s">
        <v>1078</v>
      </c>
      <c r="E5" s="28">
        <v>1100</v>
      </c>
      <c r="F5" s="28">
        <f>SUMIFS('Change Order'!G:G,'Change Order'!B:B,A5,'Change Order'!H:H,"Approved")</f>
        <v>0</v>
      </c>
      <c r="G5" s="29">
        <f>IF(E5&lt;&gt;"",E5+F5,"")</f>
        <v>1100</v>
      </c>
      <c r="H5" s="30"/>
      <c r="I5" s="27"/>
      <c r="J5" s="27"/>
      <c r="K5" s="27"/>
      <c r="L5" s="27"/>
      <c r="M5" s="27"/>
    </row>
    <row r="6" spans="1:13" ht="15" customHeight="1">
      <c r="A6" s="25" t="s">
        <v>1079</v>
      </c>
      <c r="B6" s="26" t="s">
        <v>1067</v>
      </c>
      <c r="C6" s="27" t="s">
        <v>211</v>
      </c>
      <c r="D6" s="27" t="s">
        <v>1080</v>
      </c>
      <c r="E6" s="28">
        <v>450</v>
      </c>
      <c r="F6" s="28">
        <f>SUMIFS('Change Order'!G:G,'Change Order'!B:B,A6,'Change Order'!H:H,"Approved")</f>
        <v>0</v>
      </c>
      <c r="G6" s="29">
        <f>IF(E6&lt;&gt;"",E6+F6,"")</f>
        <v>450</v>
      </c>
      <c r="H6" s="30"/>
      <c r="I6" s="27"/>
      <c r="J6" s="27"/>
      <c r="K6" s="27"/>
      <c r="L6" s="27"/>
      <c r="M6" s="27"/>
    </row>
    <row r="7" spans="1:13" ht="15" customHeight="1">
      <c r="A7" s="25" t="s">
        <v>1081</v>
      </c>
      <c r="B7" s="26" t="s">
        <v>1067</v>
      </c>
      <c r="C7" s="27" t="s">
        <v>64</v>
      </c>
      <c r="D7" s="27" t="s">
        <v>1082</v>
      </c>
      <c r="E7" s="28">
        <v>643</v>
      </c>
      <c r="F7" s="28">
        <f>SUMIFS('Change Order'!G:G,'Change Order'!B:B,A7,'Change Order'!H:H,"Approved")</f>
        <v>0</v>
      </c>
      <c r="G7" s="29">
        <f>IF(E7&lt;&gt;"",E7+F7,"")</f>
        <v>643</v>
      </c>
      <c r="H7" s="30"/>
      <c r="I7" s="27"/>
      <c r="J7" s="27"/>
      <c r="K7" s="27"/>
      <c r="L7" s="27"/>
      <c r="M7" s="27"/>
    </row>
    <row r="8" spans="1:13" ht="15" customHeight="1">
      <c r="A8" s="25" t="s">
        <v>1083</v>
      </c>
      <c r="B8" s="26" t="s">
        <v>1067</v>
      </c>
      <c r="C8" s="27" t="s">
        <v>1084</v>
      </c>
      <c r="D8" s="27" t="s">
        <v>1085</v>
      </c>
      <c r="E8" s="28">
        <v>3920</v>
      </c>
      <c r="F8" s="28">
        <f>SUMIFS('Change Order'!G:G,'Change Order'!B:B,A8,'Change Order'!H:H,"Approved")</f>
        <v>0</v>
      </c>
      <c r="G8" s="29">
        <f>IF(E8&lt;&gt;"",E8+F8,"")</f>
        <v>3920</v>
      </c>
      <c r="H8" s="30"/>
      <c r="I8" s="27"/>
      <c r="J8" s="27"/>
      <c r="K8" s="27"/>
      <c r="L8" s="27"/>
      <c r="M8" s="27"/>
    </row>
    <row r="9" spans="1:13" ht="15" customHeight="1">
      <c r="A9" s="25" t="s">
        <v>1086</v>
      </c>
      <c r="B9" s="31" t="s">
        <v>1071</v>
      </c>
      <c r="C9" s="20" t="s">
        <v>1087</v>
      </c>
      <c r="D9" s="20" t="s">
        <v>1088</v>
      </c>
      <c r="E9" s="32">
        <v>3688</v>
      </c>
      <c r="F9" s="32">
        <f>SUMIFS('Change Order'!G:G,'Change Order'!B:B,A9,'Change Order'!H:H,"Approved")</f>
        <v>0</v>
      </c>
      <c r="G9" s="33">
        <f>IF(E9&lt;&gt;"",E9+F9,"")</f>
        <v>3688</v>
      </c>
      <c r="H9" s="34"/>
      <c r="I9" s="20"/>
      <c r="J9" s="20"/>
      <c r="K9" s="20"/>
      <c r="L9" s="20"/>
      <c r="M9" s="20"/>
    </row>
    <row r="10" spans="1:13" ht="15" customHeight="1">
      <c r="A10" s="25" t="s">
        <v>1089</v>
      </c>
      <c r="B10" s="26" t="s">
        <v>1067</v>
      </c>
      <c r="C10" s="27" t="s">
        <v>64</v>
      </c>
      <c r="D10" s="27" t="s">
        <v>1090</v>
      </c>
      <c r="E10" s="28">
        <v>1180</v>
      </c>
      <c r="F10" s="28">
        <f>SUMIFS('Change Order'!G:G,'Change Order'!B:B,A10,'Change Order'!H:H,"Approved")</f>
        <v>0</v>
      </c>
      <c r="G10" s="29">
        <f>IF(E10&lt;&gt;"",E10+F10,"")</f>
        <v>1180</v>
      </c>
      <c r="H10" s="30"/>
      <c r="I10" s="27"/>
      <c r="J10" s="27"/>
      <c r="K10" s="27"/>
      <c r="L10" s="27"/>
      <c r="M10" s="27"/>
    </row>
    <row r="11" spans="1:13" ht="15" customHeight="1">
      <c r="A11" s="25" t="s">
        <v>1091</v>
      </c>
      <c r="B11" s="31" t="s">
        <v>1071</v>
      </c>
      <c r="C11" s="20" t="s">
        <v>1092</v>
      </c>
      <c r="D11" s="20" t="s">
        <v>1093</v>
      </c>
      <c r="E11" s="32">
        <v>2325.1999999999998</v>
      </c>
      <c r="F11" s="32">
        <f>SUMIFS('Change Order'!G:G,'Change Order'!B:B,A11,'Change Order'!H:H,"Approved")</f>
        <v>0</v>
      </c>
      <c r="G11" s="33">
        <f>IF(E11&lt;&gt;"",E11+F11,"")</f>
        <v>2325.1999999999998</v>
      </c>
      <c r="H11" s="34"/>
      <c r="I11" s="20"/>
      <c r="J11" s="20"/>
      <c r="K11" s="20"/>
      <c r="L11" s="20"/>
      <c r="M11" s="20"/>
    </row>
    <row r="12" spans="1:13" ht="15" customHeight="1">
      <c r="A12" s="25" t="s">
        <v>1094</v>
      </c>
      <c r="B12" s="26" t="s">
        <v>1067</v>
      </c>
      <c r="C12" s="27" t="s">
        <v>1095</v>
      </c>
      <c r="D12" s="27" t="s">
        <v>1096</v>
      </c>
      <c r="E12" s="28">
        <v>47988</v>
      </c>
      <c r="F12" s="28">
        <f>SUMIFS('Change Order'!G:G,'Change Order'!B:B,A12,'Change Order'!H:H,"Approved")</f>
        <v>0</v>
      </c>
      <c r="G12" s="29">
        <f>IF(E12&lt;&gt;"",E12+F12,"")</f>
        <v>47988</v>
      </c>
      <c r="H12" s="35" t="s">
        <v>24</v>
      </c>
      <c r="I12" s="27"/>
      <c r="J12" s="27"/>
      <c r="K12" s="27"/>
      <c r="L12" s="27"/>
      <c r="M12" s="27"/>
    </row>
    <row r="13" spans="1:13" ht="15" customHeight="1">
      <c r="A13" s="25" t="s">
        <v>1097</v>
      </c>
      <c r="B13" s="26" t="s">
        <v>1067</v>
      </c>
      <c r="C13" s="27" t="s">
        <v>1098</v>
      </c>
      <c r="D13" s="27" t="s">
        <v>1099</v>
      </c>
      <c r="E13" s="28">
        <v>55575</v>
      </c>
      <c r="F13" s="28">
        <f>SUMIFS('Change Order'!G:G,'Change Order'!B:B,A13,'Change Order'!H:H,"Approved")</f>
        <v>0</v>
      </c>
      <c r="G13" s="29">
        <f>IF(E13&lt;&gt;"",E13+F13,"")</f>
        <v>55575</v>
      </c>
      <c r="H13" s="30"/>
      <c r="I13" s="27"/>
      <c r="J13" s="27"/>
      <c r="K13" s="27"/>
      <c r="L13" s="27"/>
      <c r="M13" s="27"/>
    </row>
    <row r="14" spans="1:13" ht="15" customHeight="1">
      <c r="A14" s="25" t="s">
        <v>1100</v>
      </c>
      <c r="B14" s="26" t="s">
        <v>1067</v>
      </c>
      <c r="C14" s="27" t="s">
        <v>1101</v>
      </c>
      <c r="D14" s="27" t="s">
        <v>1102</v>
      </c>
      <c r="E14" s="28">
        <v>7183</v>
      </c>
      <c r="F14" s="28">
        <f>SUMIFS('Change Order'!G:G,'Change Order'!B:B,A14,'Change Order'!H:H,"Approved")</f>
        <v>0</v>
      </c>
      <c r="G14" s="29">
        <f>IF(E14&lt;&gt;"",E14+F14,"")</f>
        <v>7183</v>
      </c>
      <c r="H14" s="30"/>
      <c r="I14" s="27"/>
      <c r="J14" s="27"/>
      <c r="K14" s="27"/>
      <c r="L14" s="27"/>
      <c r="M14" s="27"/>
    </row>
    <row r="15" spans="1:13" ht="15" customHeight="1">
      <c r="A15" s="36" t="s">
        <v>1103</v>
      </c>
      <c r="B15" s="36" t="s">
        <v>1104</v>
      </c>
      <c r="C15" s="37" t="s">
        <v>534</v>
      </c>
      <c r="D15" s="37" t="s">
        <v>1105</v>
      </c>
      <c r="E15" s="38" t="s">
        <v>1106</v>
      </c>
      <c r="F15" s="39"/>
      <c r="G15" s="39"/>
      <c r="H15" s="40"/>
      <c r="I15" s="39"/>
      <c r="J15" s="39"/>
      <c r="K15" s="39"/>
      <c r="L15" s="39"/>
      <c r="M15" s="37" t="s">
        <v>1107</v>
      </c>
    </row>
    <row r="16" spans="1:13" ht="15" customHeight="1">
      <c r="A16" s="25" t="s">
        <v>1108</v>
      </c>
      <c r="B16" s="26" t="s">
        <v>1067</v>
      </c>
      <c r="C16" s="27" t="s">
        <v>1109</v>
      </c>
      <c r="D16" s="27" t="s">
        <v>1110</v>
      </c>
      <c r="E16" s="28">
        <v>589.95000000000005</v>
      </c>
      <c r="F16" s="28">
        <f>SUMIFS('Change Order'!G:G,'Change Order'!B:B,A16,'Change Order'!H:H,"Approved")</f>
        <v>0</v>
      </c>
      <c r="G16" s="29">
        <f>IF(E16&lt;&gt;"",E16+F16,"")</f>
        <v>589.95000000000005</v>
      </c>
      <c r="H16" s="30"/>
      <c r="I16" s="27"/>
      <c r="J16" s="27"/>
      <c r="K16" s="27"/>
      <c r="L16" s="27"/>
      <c r="M16" s="27"/>
    </row>
    <row r="17" spans="1:13" ht="15" customHeight="1">
      <c r="A17" s="25" t="s">
        <v>1111</v>
      </c>
      <c r="B17" s="26" t="s">
        <v>1067</v>
      </c>
      <c r="C17" s="27" t="s">
        <v>1112</v>
      </c>
      <c r="D17" s="27" t="s">
        <v>1113</v>
      </c>
      <c r="E17" s="28"/>
      <c r="F17" s="28">
        <f>SUMIFS('Change Order'!G:G,'Change Order'!B:B,A17,'Change Order'!H:H,"Approved")</f>
        <v>0</v>
      </c>
      <c r="G17" s="29" t="str">
        <f>IF(E17&lt;&gt;"",E17+F17,"")</f>
        <v/>
      </c>
      <c r="H17" s="30"/>
      <c r="I17" s="27"/>
      <c r="J17" s="27"/>
      <c r="K17" s="27"/>
      <c r="L17" s="27"/>
      <c r="M17" s="27"/>
    </row>
    <row r="18" spans="1:13" ht="15" customHeight="1">
      <c r="A18" s="25" t="s">
        <v>1114</v>
      </c>
      <c r="B18" s="26" t="s">
        <v>1067</v>
      </c>
      <c r="C18" s="27" t="s">
        <v>1112</v>
      </c>
      <c r="D18" s="27" t="s">
        <v>1115</v>
      </c>
      <c r="E18" s="28"/>
      <c r="F18" s="28">
        <f>SUMIFS('Change Order'!G:G,'Change Order'!B:B,A18,'Change Order'!H:H,"Approved")</f>
        <v>0</v>
      </c>
      <c r="G18" s="29" t="str">
        <f>IF(E18&lt;&gt;"",E18+F18,"")</f>
        <v/>
      </c>
      <c r="H18" s="30"/>
      <c r="I18" s="27"/>
      <c r="J18" s="27"/>
      <c r="K18" s="27"/>
      <c r="L18" s="27"/>
      <c r="M18" s="27"/>
    </row>
    <row r="19" spans="1:13" ht="15" customHeight="1">
      <c r="A19" s="25" t="s">
        <v>1116</v>
      </c>
      <c r="B19" s="26" t="s">
        <v>1067</v>
      </c>
      <c r="C19" s="27" t="s">
        <v>211</v>
      </c>
      <c r="D19" s="27" t="s">
        <v>1117</v>
      </c>
      <c r="E19" s="28">
        <v>6118</v>
      </c>
      <c r="F19" s="28">
        <f>SUMIFS('Change Order'!G:G,'Change Order'!B:B,A19,'Change Order'!H:H,"Approved")</f>
        <v>0</v>
      </c>
      <c r="G19" s="29">
        <f>IF(E19&lt;&gt;"",E19+F19,"")</f>
        <v>6118</v>
      </c>
      <c r="H19" s="30"/>
      <c r="I19" s="27"/>
      <c r="J19" s="27"/>
      <c r="K19" s="27"/>
      <c r="L19" s="27"/>
      <c r="M19" s="27"/>
    </row>
    <row r="20" spans="1:13" ht="15" customHeight="1">
      <c r="A20" s="25" t="s">
        <v>1118</v>
      </c>
      <c r="B20" s="26" t="s">
        <v>1067</v>
      </c>
      <c r="C20" s="27" t="s">
        <v>1119</v>
      </c>
      <c r="D20" s="27" t="s">
        <v>1120</v>
      </c>
      <c r="E20" s="28">
        <v>1074</v>
      </c>
      <c r="F20" s="28">
        <f>SUMIFS('Change Order'!G:G,'Change Order'!B:B,A20,'Change Order'!H:H,"Approved")</f>
        <v>0</v>
      </c>
      <c r="G20" s="29">
        <f>IF(E20&lt;&gt;"",E20+F20,"")</f>
        <v>1074</v>
      </c>
      <c r="H20" s="30"/>
      <c r="I20" s="27"/>
      <c r="J20" s="27"/>
      <c r="K20" s="27"/>
      <c r="L20" s="27"/>
      <c r="M20" s="27"/>
    </row>
    <row r="21" spans="1:13" ht="15" customHeight="1">
      <c r="A21" s="25" t="s">
        <v>1121</v>
      </c>
      <c r="B21" s="31" t="s">
        <v>1071</v>
      </c>
      <c r="C21" s="20" t="s">
        <v>1122</v>
      </c>
      <c r="D21" s="20" t="s">
        <v>1123</v>
      </c>
      <c r="E21" s="32"/>
      <c r="F21" s="32">
        <f>SUMIFS('Change Order'!G:G,'Change Order'!B:B,A21,'Change Order'!H:H,"Approved")</f>
        <v>0</v>
      </c>
      <c r="G21" s="33" t="str">
        <f>IF(E21&lt;&gt;"",E21+F21,"")</f>
        <v/>
      </c>
      <c r="H21" s="34"/>
      <c r="I21" s="20"/>
      <c r="J21" s="20"/>
      <c r="K21" s="20"/>
      <c r="L21" s="20"/>
      <c r="M21" s="20"/>
    </row>
    <row r="22" spans="1:13" ht="15" customHeight="1">
      <c r="A22" s="25" t="s">
        <v>1124</v>
      </c>
      <c r="B22" s="26" t="s">
        <v>1067</v>
      </c>
      <c r="C22" s="27" t="s">
        <v>1098</v>
      </c>
      <c r="D22" s="27" t="s">
        <v>1125</v>
      </c>
      <c r="E22" s="28">
        <v>3504</v>
      </c>
      <c r="F22" s="28">
        <f>SUMIFS('Change Order'!G:G,'Change Order'!B:B,A22,'Change Order'!H:H,"Approved")</f>
        <v>0</v>
      </c>
      <c r="G22" s="29">
        <f>IF(E22&lt;&gt;"",E22+F22,"")</f>
        <v>3504</v>
      </c>
      <c r="H22" s="30"/>
      <c r="I22" s="27"/>
      <c r="J22" s="27"/>
      <c r="K22" s="27"/>
      <c r="L22" s="27"/>
      <c r="M22" s="27"/>
    </row>
    <row r="23" spans="1:13" ht="15" customHeight="1">
      <c r="A23" s="25" t="s">
        <v>1126</v>
      </c>
      <c r="B23" s="26" t="s">
        <v>1067</v>
      </c>
      <c r="C23" s="27" t="s">
        <v>1127</v>
      </c>
      <c r="D23" s="27" t="s">
        <v>1128</v>
      </c>
      <c r="E23" s="28">
        <v>5713</v>
      </c>
      <c r="F23" s="28">
        <f>SUMIFS('Change Order'!G:G,'Change Order'!B:B,A23,'Change Order'!H:H,"Approved")</f>
        <v>0</v>
      </c>
      <c r="G23" s="29">
        <f>IF(E23&lt;&gt;"",E23+F23,"")</f>
        <v>5713</v>
      </c>
      <c r="H23" s="30"/>
      <c r="I23" s="27"/>
      <c r="J23" s="27"/>
      <c r="K23" s="27"/>
      <c r="L23" s="27"/>
      <c r="M23" s="27"/>
    </row>
    <row r="24" spans="1:13" ht="15" customHeight="1">
      <c r="A24" s="25" t="s">
        <v>1129</v>
      </c>
      <c r="B24" s="31" t="s">
        <v>1071</v>
      </c>
      <c r="C24" s="20" t="s">
        <v>1130</v>
      </c>
      <c r="D24" s="20" t="s">
        <v>1131</v>
      </c>
      <c r="E24" s="32"/>
      <c r="F24" s="32">
        <f>SUMIFS('Change Order'!G:G,'Change Order'!B:B,A24,'Change Order'!H:H,"Approved")</f>
        <v>0</v>
      </c>
      <c r="G24" s="33" t="str">
        <f>IF(E24&lt;&gt;"",E24+F24,"")</f>
        <v/>
      </c>
      <c r="H24" s="34"/>
      <c r="I24" s="20"/>
      <c r="J24" s="20"/>
      <c r="K24" s="20"/>
      <c r="L24" s="20"/>
      <c r="M24" s="20"/>
    </row>
    <row r="25" spans="1:13" ht="15" customHeight="1">
      <c r="A25" s="25" t="s">
        <v>1132</v>
      </c>
      <c r="B25" s="26" t="s">
        <v>1067</v>
      </c>
      <c r="C25" s="27" t="s">
        <v>124</v>
      </c>
      <c r="D25" s="27" t="s">
        <v>1133</v>
      </c>
      <c r="E25" s="28">
        <v>4114</v>
      </c>
      <c r="F25" s="28">
        <f>SUMIFS('Change Order'!G:G,'Change Order'!B:B,A25,'Change Order'!H:H,"Approved")</f>
        <v>0</v>
      </c>
      <c r="G25" s="29">
        <f>IF(E25&lt;&gt;"",E25+F25,"")</f>
        <v>4114</v>
      </c>
      <c r="H25" s="30"/>
      <c r="I25" s="27"/>
      <c r="J25" s="27"/>
      <c r="K25" s="27"/>
      <c r="L25" s="27"/>
      <c r="M25" s="27"/>
    </row>
    <row r="26" spans="1:13" ht="15" customHeight="1">
      <c r="A26" s="25" t="s">
        <v>1134</v>
      </c>
      <c r="B26" s="26" t="s">
        <v>1067</v>
      </c>
      <c r="C26" s="27" t="s">
        <v>1135</v>
      </c>
      <c r="D26" s="27" t="s">
        <v>1136</v>
      </c>
      <c r="E26" s="28"/>
      <c r="F26" s="28">
        <f>SUMIFS('Change Order'!G:G,'Change Order'!B:B,A26,'Change Order'!H:H,"Approved")</f>
        <v>0</v>
      </c>
      <c r="G26" s="29" t="str">
        <f>IF(E26&lt;&gt;"",E26+F26,"")</f>
        <v/>
      </c>
      <c r="H26" s="30"/>
      <c r="I26" s="27"/>
      <c r="J26" s="27"/>
      <c r="K26" s="27"/>
      <c r="L26" s="27"/>
      <c r="M26" s="27"/>
    </row>
    <row r="27" spans="1:13" ht="15" customHeight="1">
      <c r="A27" s="25" t="s">
        <v>1137</v>
      </c>
      <c r="B27" s="26" t="s">
        <v>1067</v>
      </c>
      <c r="C27" s="27" t="s">
        <v>1138</v>
      </c>
      <c r="D27" s="27" t="s">
        <v>1139</v>
      </c>
      <c r="E27" s="28">
        <v>3845</v>
      </c>
      <c r="F27" s="28">
        <f>SUMIFS('Change Order'!G:G,'Change Order'!B:B,A27,'Change Order'!H:H,"Approved")</f>
        <v>0</v>
      </c>
      <c r="G27" s="29">
        <f>IF(E27&lt;&gt;"",E27+F27,"")</f>
        <v>3845</v>
      </c>
      <c r="H27" s="30"/>
      <c r="I27" s="27"/>
      <c r="J27" s="27"/>
      <c r="K27" s="27"/>
      <c r="L27" s="27"/>
      <c r="M27" s="27"/>
    </row>
    <row r="28" spans="1:13" ht="15" customHeight="1">
      <c r="A28" s="25" t="s">
        <v>1140</v>
      </c>
      <c r="B28" s="26" t="s">
        <v>1067</v>
      </c>
      <c r="C28" s="27" t="s">
        <v>211</v>
      </c>
      <c r="D28" s="27" t="s">
        <v>1141</v>
      </c>
      <c r="E28" s="28">
        <v>1973</v>
      </c>
      <c r="F28" s="28">
        <f>SUMIFS('Change Order'!G:G,'Change Order'!B:B,A28,'Change Order'!H:H,"Approved")</f>
        <v>0</v>
      </c>
      <c r="G28" s="29">
        <f>IF(E28&lt;&gt;"",E28+F28,"")</f>
        <v>1973</v>
      </c>
      <c r="H28" s="30"/>
      <c r="I28" s="27"/>
      <c r="J28" s="27"/>
      <c r="K28" s="27"/>
      <c r="L28" s="27"/>
      <c r="M28" s="27"/>
    </row>
    <row r="29" spans="1:13" ht="15" customHeight="1">
      <c r="A29" s="25" t="s">
        <v>1142</v>
      </c>
      <c r="B29" s="26" t="s">
        <v>1067</v>
      </c>
      <c r="C29" s="27" t="s">
        <v>124</v>
      </c>
      <c r="D29" s="27" t="s">
        <v>1143</v>
      </c>
      <c r="E29" s="28">
        <v>9296</v>
      </c>
      <c r="F29" s="28">
        <f>SUMIFS('Change Order'!G:G,'Change Order'!B:B,A29,'Change Order'!H:H,"Approved")</f>
        <v>0</v>
      </c>
      <c r="G29" s="29">
        <f>IF(E29&lt;&gt;"",E29+F29,"")</f>
        <v>9296</v>
      </c>
      <c r="H29" s="30"/>
      <c r="I29" s="27"/>
      <c r="J29" s="27"/>
      <c r="K29" s="27"/>
      <c r="L29" s="27"/>
      <c r="M29" s="27"/>
    </row>
    <row r="30" spans="1:13" ht="15" customHeight="1">
      <c r="A30" s="25" t="s">
        <v>1144</v>
      </c>
      <c r="B30" s="26" t="s">
        <v>1067</v>
      </c>
      <c r="C30" s="27" t="s">
        <v>1145</v>
      </c>
      <c r="D30" s="27" t="s">
        <v>1146</v>
      </c>
      <c r="E30" s="28">
        <v>22923</v>
      </c>
      <c r="F30" s="28">
        <f>SUMIFS('Change Order'!G:G,'Change Order'!B:B,A30,'Change Order'!H:H,"Approved")</f>
        <v>0</v>
      </c>
      <c r="G30" s="29">
        <f>IF(E30&lt;&gt;"",E30+F30,"")</f>
        <v>22923</v>
      </c>
      <c r="H30" s="35" t="s">
        <v>137</v>
      </c>
      <c r="I30" s="27"/>
      <c r="J30" s="27"/>
      <c r="K30" s="27"/>
      <c r="L30" s="27"/>
      <c r="M30" s="27"/>
    </row>
    <row r="31" spans="1:13" ht="15" customHeight="1">
      <c r="A31" s="25" t="s">
        <v>1147</v>
      </c>
      <c r="B31" s="41" t="s">
        <v>1104</v>
      </c>
      <c r="C31" s="5" t="s">
        <v>1148</v>
      </c>
      <c r="D31" s="5" t="s">
        <v>1149</v>
      </c>
      <c r="E31" s="42">
        <v>6657</v>
      </c>
      <c r="F31" s="42">
        <f>SUMIFS('Change Order'!G:G,'Change Order'!B:B,A31,'Change Order'!H:H,"Approved")</f>
        <v>0</v>
      </c>
      <c r="G31" s="43">
        <f>IF(E31&lt;&gt;"",E31+F31,"")</f>
        <v>6657</v>
      </c>
      <c r="H31" s="44" t="s">
        <v>161</v>
      </c>
      <c r="I31" s="5"/>
      <c r="J31" s="5"/>
      <c r="K31" s="5"/>
      <c r="L31" s="5"/>
      <c r="M31" s="5"/>
    </row>
    <row r="32" spans="1:13" ht="15" customHeight="1">
      <c r="A32" s="25" t="s">
        <v>1150</v>
      </c>
      <c r="B32" s="41" t="s">
        <v>1104</v>
      </c>
      <c r="C32" s="5" t="s">
        <v>1148</v>
      </c>
      <c r="D32" s="5" t="s">
        <v>1151</v>
      </c>
      <c r="E32" s="42">
        <v>13731</v>
      </c>
      <c r="F32" s="42">
        <f>SUMIFS('Change Order'!G:G,'Change Order'!B:B,A32,'Change Order'!H:H,"Approved")</f>
        <v>0</v>
      </c>
      <c r="G32" s="43">
        <f>IF(E32&lt;&gt;"",E32+F32,"")</f>
        <v>13731</v>
      </c>
      <c r="H32" s="45"/>
      <c r="I32" s="5"/>
      <c r="J32" s="5"/>
      <c r="K32" s="5"/>
      <c r="L32" s="5"/>
      <c r="M32" s="5"/>
    </row>
    <row r="33" spans="1:13" ht="15" customHeight="1">
      <c r="A33" s="25" t="s">
        <v>1152</v>
      </c>
      <c r="B33" s="26" t="s">
        <v>1067</v>
      </c>
      <c r="C33" s="27" t="s">
        <v>211</v>
      </c>
      <c r="D33" s="27" t="s">
        <v>1153</v>
      </c>
      <c r="E33" s="28"/>
      <c r="F33" s="28">
        <f>SUMIFS('Change Order'!G:G,'Change Order'!B:B,A33,'Change Order'!H:H,"Approved")</f>
        <v>0</v>
      </c>
      <c r="G33" s="29" t="str">
        <f>IF(E33&lt;&gt;"",E33+F33,"")</f>
        <v/>
      </c>
      <c r="H33" s="30"/>
      <c r="I33" s="27"/>
      <c r="J33" s="27"/>
      <c r="K33" s="27"/>
      <c r="L33" s="27"/>
      <c r="M33" s="27"/>
    </row>
    <row r="34" spans="1:13" ht="15" customHeight="1">
      <c r="A34" s="25" t="s">
        <v>1154</v>
      </c>
      <c r="B34" s="26" t="s">
        <v>1067</v>
      </c>
      <c r="C34" s="27" t="s">
        <v>1127</v>
      </c>
      <c r="D34" s="27" t="s">
        <v>1155</v>
      </c>
      <c r="E34" s="28">
        <v>157.5</v>
      </c>
      <c r="F34" s="28">
        <f>SUMIFS('Change Order'!G:G,'Change Order'!B:B,A34,'Change Order'!H:H,"Approved")</f>
        <v>0</v>
      </c>
      <c r="G34" s="29">
        <f>IF(E34&lt;&gt;"",E34+F34,"")</f>
        <v>157.5</v>
      </c>
      <c r="H34" s="30"/>
      <c r="I34" s="27"/>
      <c r="J34" s="27"/>
      <c r="K34" s="27"/>
      <c r="L34" s="27"/>
      <c r="M34" s="27"/>
    </row>
    <row r="35" spans="1:13" ht="15" customHeight="1">
      <c r="A35" s="25" t="s">
        <v>1156</v>
      </c>
      <c r="B35" s="26" t="s">
        <v>1067</v>
      </c>
      <c r="C35" s="27" t="s">
        <v>1157</v>
      </c>
      <c r="D35" s="27" t="s">
        <v>1158</v>
      </c>
      <c r="E35" s="28">
        <v>4955</v>
      </c>
      <c r="F35" s="28">
        <f>SUMIFS('Change Order'!G:G,'Change Order'!B:B,A35,'Change Order'!H:H,"Approved")</f>
        <v>0</v>
      </c>
      <c r="G35" s="29">
        <f>IF(E35&lt;&gt;"",E35+F35,"")</f>
        <v>4955</v>
      </c>
      <c r="H35" s="35" t="s">
        <v>305</v>
      </c>
      <c r="I35" s="27"/>
      <c r="J35" s="27"/>
      <c r="K35" s="27"/>
      <c r="L35" s="27"/>
      <c r="M35" s="27"/>
    </row>
    <row r="36" spans="1:13" ht="15" customHeight="1">
      <c r="A36" s="25" t="s">
        <v>1159</v>
      </c>
      <c r="B36" s="26" t="s">
        <v>1067</v>
      </c>
      <c r="C36" s="27" t="s">
        <v>1160</v>
      </c>
      <c r="D36" s="27" t="s">
        <v>1123</v>
      </c>
      <c r="E36" s="28"/>
      <c r="F36" s="28">
        <f>SUMIFS('Change Order'!G:G,'Change Order'!B:B,A36,'Change Order'!H:H,"Approved")</f>
        <v>0</v>
      </c>
      <c r="G36" s="29" t="str">
        <f>IF(E36&lt;&gt;"",E36+F36,"")</f>
        <v/>
      </c>
      <c r="H36" s="30"/>
      <c r="I36" s="27"/>
      <c r="J36" s="27"/>
      <c r="K36" s="27"/>
      <c r="L36" s="27"/>
      <c r="M36" s="27"/>
    </row>
    <row r="37" spans="1:13" ht="15" customHeight="1">
      <c r="A37" s="25" t="s">
        <v>1161</v>
      </c>
      <c r="B37" s="26" t="s">
        <v>1067</v>
      </c>
      <c r="C37" s="27" t="s">
        <v>1162</v>
      </c>
      <c r="D37" s="27" t="s">
        <v>1163</v>
      </c>
      <c r="E37" s="28">
        <v>1746</v>
      </c>
      <c r="F37" s="28">
        <f>SUMIFS('Change Order'!G:G,'Change Order'!B:B,A37,'Change Order'!H:H,"Approved")</f>
        <v>0</v>
      </c>
      <c r="G37" s="29">
        <f>IF(E37&lt;&gt;"",E37+F37,"")</f>
        <v>1746</v>
      </c>
      <c r="H37" s="30"/>
      <c r="I37" s="27"/>
      <c r="J37" s="27"/>
      <c r="K37" s="27"/>
      <c r="L37" s="27"/>
      <c r="M37" s="27"/>
    </row>
    <row r="38" spans="1:13" ht="15" customHeight="1">
      <c r="A38" s="25" t="s">
        <v>1164</v>
      </c>
      <c r="B38" s="26" t="s">
        <v>1067</v>
      </c>
      <c r="C38" s="27" t="s">
        <v>1165</v>
      </c>
      <c r="D38" s="27" t="s">
        <v>1166</v>
      </c>
      <c r="E38" s="28">
        <v>200</v>
      </c>
      <c r="F38" s="28">
        <f>SUMIFS('Change Order'!G:G,'Change Order'!B:B,A38,'Change Order'!H:H,"Approved")</f>
        <v>0</v>
      </c>
      <c r="G38" s="29">
        <f>IF(E38&lt;&gt;"",E38+F38,"")</f>
        <v>200</v>
      </c>
      <c r="H38" s="30"/>
      <c r="I38" s="27"/>
      <c r="J38" s="27"/>
      <c r="K38" s="27"/>
      <c r="L38" s="27"/>
      <c r="M38" s="27"/>
    </row>
    <row r="39" spans="1:13" ht="15" customHeight="1">
      <c r="A39" s="25" t="s">
        <v>1167</v>
      </c>
      <c r="B39" s="26" t="s">
        <v>1067</v>
      </c>
      <c r="C39" s="27" t="s">
        <v>1168</v>
      </c>
      <c r="D39" s="27" t="s">
        <v>1169</v>
      </c>
      <c r="E39" s="28"/>
      <c r="F39" s="28">
        <f>SUMIFS('Change Order'!G:G,'Change Order'!B:B,A39,'Change Order'!H:H,"Approved")</f>
        <v>0</v>
      </c>
      <c r="G39" s="29" t="str">
        <f>IF(E39&lt;&gt;"",E39+F39,"")</f>
        <v/>
      </c>
      <c r="H39" s="30"/>
      <c r="I39" s="27"/>
      <c r="J39" s="27"/>
      <c r="K39" s="27"/>
      <c r="L39" s="27"/>
      <c r="M39" s="27"/>
    </row>
    <row r="40" spans="1:13" ht="15" customHeight="1">
      <c r="A40" s="25" t="s">
        <v>1170</v>
      </c>
      <c r="B40" s="26" t="s">
        <v>1067</v>
      </c>
      <c r="C40" s="27" t="s">
        <v>1171</v>
      </c>
      <c r="D40" s="27" t="s">
        <v>1172</v>
      </c>
      <c r="E40" s="28"/>
      <c r="F40" s="28">
        <f>SUMIFS('Change Order'!G:G,'Change Order'!B:B,A40,'Change Order'!H:H,"Approved")</f>
        <v>0</v>
      </c>
      <c r="G40" s="29" t="str">
        <f>IF(E40&lt;&gt;"",E40+F40,"")</f>
        <v/>
      </c>
      <c r="H40" s="30"/>
      <c r="I40" s="27"/>
      <c r="J40" s="27"/>
      <c r="K40" s="27"/>
      <c r="L40" s="27"/>
      <c r="M40" s="27"/>
    </row>
    <row r="41" spans="1:13" ht="15" customHeight="1">
      <c r="A41" s="25" t="s">
        <v>1173</v>
      </c>
      <c r="B41" s="26" t="s">
        <v>1067</v>
      </c>
      <c r="C41" s="27" t="s">
        <v>1174</v>
      </c>
      <c r="D41" s="27" t="s">
        <v>1175</v>
      </c>
      <c r="E41" s="28">
        <v>4681</v>
      </c>
      <c r="F41" s="28">
        <f>SUMIFS('Change Order'!G:G,'Change Order'!B:B,A41,'Change Order'!H:H,"Approved")</f>
        <v>0</v>
      </c>
      <c r="G41" s="29">
        <f>IF(E41&lt;&gt;"",E41+F41,"")</f>
        <v>4681</v>
      </c>
      <c r="H41" s="30"/>
      <c r="I41" s="27"/>
      <c r="J41" s="27"/>
      <c r="K41" s="27"/>
      <c r="L41" s="27"/>
      <c r="M41" s="27"/>
    </row>
    <row r="42" spans="1:13" ht="15" customHeight="1">
      <c r="A42" s="25" t="s">
        <v>1176</v>
      </c>
      <c r="B42" s="26" t="s">
        <v>1067</v>
      </c>
      <c r="C42" s="27" t="s">
        <v>1127</v>
      </c>
      <c r="D42" s="27" t="s">
        <v>1177</v>
      </c>
      <c r="E42" s="28">
        <v>2300</v>
      </c>
      <c r="F42" s="28">
        <f>SUMIFS('Change Order'!G:G,'Change Order'!B:B,A42,'Change Order'!H:H,"Approved")</f>
        <v>0</v>
      </c>
      <c r="G42" s="29">
        <f>IF(E42&lt;&gt;"",E42+F42,"")</f>
        <v>2300</v>
      </c>
      <c r="H42" s="30"/>
      <c r="I42" s="27"/>
      <c r="J42" s="27"/>
      <c r="K42" s="27"/>
      <c r="L42" s="27"/>
      <c r="M42" s="27"/>
    </row>
    <row r="43" spans="1:13" ht="15" customHeight="1">
      <c r="A43" s="25" t="s">
        <v>1178</v>
      </c>
      <c r="B43" s="26" t="s">
        <v>1067</v>
      </c>
      <c r="C43" s="27" t="s">
        <v>1179</v>
      </c>
      <c r="D43" s="27" t="s">
        <v>1180</v>
      </c>
      <c r="E43" s="28">
        <v>36209</v>
      </c>
      <c r="F43" s="28">
        <f>SUMIFS('Change Order'!G:G,'Change Order'!B:B,A43,'Change Order'!H:H,"Approved")</f>
        <v>0</v>
      </c>
      <c r="G43" s="29">
        <f>IF(E43&lt;&gt;"",E43+F43,"")</f>
        <v>36209</v>
      </c>
      <c r="H43" s="30"/>
      <c r="I43" s="27"/>
      <c r="J43" s="27"/>
      <c r="K43" s="27"/>
      <c r="L43" s="27"/>
      <c r="M43" s="27"/>
    </row>
    <row r="44" spans="1:13" ht="15" customHeight="1">
      <c r="A44" s="25" t="s">
        <v>1181</v>
      </c>
      <c r="B44" s="26" t="s">
        <v>1067</v>
      </c>
      <c r="C44" s="27" t="s">
        <v>1182</v>
      </c>
      <c r="D44" s="27" t="s">
        <v>1183</v>
      </c>
      <c r="E44" s="28"/>
      <c r="F44" s="28">
        <f>SUMIFS('Change Order'!G:G,'Change Order'!B:B,A44,'Change Order'!H:H,"Approved")</f>
        <v>0</v>
      </c>
      <c r="G44" s="29" t="str">
        <f>IF(E44&lt;&gt;"",E44+F44,"")</f>
        <v/>
      </c>
      <c r="H44" s="30"/>
      <c r="I44" s="27"/>
      <c r="J44" s="27"/>
      <c r="K44" s="27"/>
      <c r="L44" s="27"/>
      <c r="M44" s="27"/>
    </row>
    <row r="45" spans="1:13" ht="15" customHeight="1">
      <c r="A45" s="25" t="s">
        <v>1184</v>
      </c>
      <c r="B45" s="31" t="s">
        <v>1071</v>
      </c>
      <c r="C45" s="20" t="s">
        <v>1185</v>
      </c>
      <c r="D45" s="20" t="s">
        <v>1186</v>
      </c>
      <c r="E45" s="46" t="s">
        <v>1187</v>
      </c>
      <c r="F45" s="20"/>
      <c r="G45" s="46" t="s">
        <v>1187</v>
      </c>
      <c r="H45" s="34"/>
      <c r="I45" s="20"/>
      <c r="J45" s="20"/>
      <c r="K45" s="20"/>
      <c r="L45" s="20"/>
      <c r="M45" s="20"/>
    </row>
    <row r="46" spans="1:13" ht="15" customHeight="1">
      <c r="A46" s="25" t="s">
        <v>1188</v>
      </c>
      <c r="B46" s="26" t="s">
        <v>1067</v>
      </c>
      <c r="C46" s="27" t="s">
        <v>211</v>
      </c>
      <c r="D46" s="27" t="s">
        <v>1189</v>
      </c>
      <c r="E46" s="28">
        <v>3019</v>
      </c>
      <c r="F46" s="28">
        <f>SUMIFS('Change Order'!G:G,'Change Order'!B:B,A46,'Change Order'!H:H,"Approved")</f>
        <v>0</v>
      </c>
      <c r="G46" s="29">
        <f>IF(E46&lt;&gt;"",E46+F46,"")</f>
        <v>3019</v>
      </c>
      <c r="H46" s="30"/>
      <c r="I46" s="27"/>
      <c r="J46" s="27"/>
      <c r="K46" s="27"/>
      <c r="L46" s="27"/>
      <c r="M46" s="27"/>
    </row>
    <row r="47" spans="1:13" ht="15" customHeight="1">
      <c r="A47" s="25" t="s">
        <v>1190</v>
      </c>
      <c r="B47" s="26" t="s">
        <v>1067</v>
      </c>
      <c r="C47" s="27" t="s">
        <v>1098</v>
      </c>
      <c r="D47" s="27" t="s">
        <v>194</v>
      </c>
      <c r="E47" s="28">
        <v>26942</v>
      </c>
      <c r="F47" s="28">
        <f>SUMIFS('Change Order'!G:G,'Change Order'!B:B,A47,'Change Order'!H:H,"Approved")</f>
        <v>0</v>
      </c>
      <c r="G47" s="29">
        <f>IF(E47&lt;&gt;"",E47+F47,"")</f>
        <v>26942</v>
      </c>
      <c r="H47" s="30"/>
      <c r="I47" s="27"/>
      <c r="J47" s="27"/>
      <c r="K47" s="27"/>
      <c r="L47" s="27"/>
      <c r="M47" s="27"/>
    </row>
    <row r="48" spans="1:13" ht="15" customHeight="1">
      <c r="A48" s="25" t="s">
        <v>1191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1:13" ht="15" customHeight="1">
      <c r="A49" s="25" t="s">
        <v>1192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ht="15" customHeight="1">
      <c r="A50" s="25" t="s">
        <v>1193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3" ht="15" customHeight="1">
      <c r="A51" s="25" t="s">
        <v>1194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 ht="15" customHeight="1">
      <c r="A52" s="25" t="s">
        <v>1195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3" ht="15" customHeight="1">
      <c r="A53" s="25" t="s">
        <v>1196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spans="1:13" ht="15" customHeight="1">
      <c r="A54" s="25" t="s">
        <v>1197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1:13" ht="15" customHeight="1">
      <c r="A55" s="25" t="s">
        <v>1198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spans="1:13" ht="15" customHeight="1">
      <c r="A56" s="25" t="s">
        <v>1199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spans="1:13" ht="15" customHeight="1">
      <c r="A57" s="25" t="s">
        <v>1200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1:13" ht="15" customHeight="1">
      <c r="A58" s="25" t="s">
        <v>1201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1:13" ht="15" customHeight="1">
      <c r="A59" s="25" t="s">
        <v>1202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 spans="1:13" ht="15" customHeight="1">
      <c r="A60" s="25" t="s">
        <v>1203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1:13" ht="15" customHeight="1">
      <c r="A61" s="25" t="s">
        <v>1204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spans="1:13" ht="15" customHeight="1">
      <c r="A62" s="25" t="s">
        <v>1205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spans="1:13" ht="15" customHeight="1">
      <c r="A63" s="25" t="s">
        <v>1206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 spans="1:13" ht="15" customHeight="1">
      <c r="A64" s="25" t="s">
        <v>1207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</row>
    <row r="65" spans="1:13" ht="15" customHeight="1">
      <c r="A65" s="25" t="s">
        <v>1208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8" spans="1:13">
      <c r="A68" s="47" t="s">
        <v>1209</v>
      </c>
    </row>
    <row r="69" spans="1:13">
      <c r="A69" s="48" t="s">
        <v>1210</v>
      </c>
    </row>
    <row r="70" spans="1:13">
      <c r="A70" s="49" t="s">
        <v>1211</v>
      </c>
    </row>
    <row r="71" spans="1:13">
      <c r="A71" s="50" t="s">
        <v>1212</v>
      </c>
    </row>
  </sheetData>
  <dataValidations count="3">
    <dataValidation type="list" allowBlank="1" sqref="I2:I71" xr:uid="{00000000-0002-0000-0200-000000000000}">
      <formula1>"In Queue,In Fabrication,Fab Complete"</formula1>
      <formula2>0</formula2>
    </dataValidation>
    <dataValidation type="list" allowBlank="1" sqref="K2:K71" xr:uid="{00000000-0002-0000-0200-000001000000}">
      <formula1>"Scheduled,Installing,Installed,Punch List,Complete"</formula1>
      <formula2>0</formula2>
    </dataValidation>
    <dataValidation type="list" allowBlank="1" sqref="L2:L71" xr:uid="{00000000-0002-0000-0200-000002000000}">
      <formula1>"Not Invoiced,Partial,Invoiced,Paid"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zoomScaleNormal="100" workbookViewId="0">
      <pane ySplit="1" topLeftCell="A2" activePane="bottomLeft" state="frozen"/>
      <selection pane="bottomLeft" activeCell="G2" sqref="G2"/>
    </sheetView>
  </sheetViews>
  <sheetFormatPr defaultColWidth="8.7109375" defaultRowHeight="15"/>
  <cols>
    <col min="1" max="1" width="12" customWidth="1"/>
    <col min="2" max="2" width="13" style="65" customWidth="1"/>
    <col min="3" max="3" width="18" customWidth="1"/>
    <col min="4" max="4" width="32" customWidth="1"/>
    <col min="5" max="5" width="45.85546875" customWidth="1"/>
    <col min="6" max="6" width="14" customWidth="1"/>
    <col min="7" max="8" width="13" customWidth="1"/>
    <col min="9" max="9" width="14" customWidth="1"/>
    <col min="10" max="10" width="28" customWidth="1"/>
  </cols>
  <sheetData>
    <row r="1" spans="1:10" ht="18" customHeight="1">
      <c r="A1" s="1" t="s">
        <v>1213</v>
      </c>
      <c r="B1" s="64" t="s">
        <v>0</v>
      </c>
      <c r="C1" s="1" t="s">
        <v>2</v>
      </c>
      <c r="D1" s="1" t="s">
        <v>3</v>
      </c>
      <c r="E1" s="63" t="s">
        <v>1214</v>
      </c>
      <c r="F1" s="1" t="s">
        <v>1215</v>
      </c>
      <c r="G1" s="1" t="s">
        <v>1216</v>
      </c>
      <c r="H1" s="1" t="s">
        <v>9</v>
      </c>
      <c r="I1" s="1" t="s">
        <v>1217</v>
      </c>
      <c r="J1" s="1" t="s">
        <v>16</v>
      </c>
    </row>
    <row r="2" spans="1:10" ht="15" customHeight="1">
      <c r="A2" s="22" t="s">
        <v>1218</v>
      </c>
      <c r="B2" s="22" t="s">
        <v>24</v>
      </c>
      <c r="C2" s="20" t="s">
        <v>25</v>
      </c>
      <c r="D2" s="20" t="s">
        <v>26</v>
      </c>
      <c r="E2" s="20" t="s">
        <v>1219</v>
      </c>
      <c r="F2" s="51"/>
      <c r="G2" s="24">
        <v>2400</v>
      </c>
      <c r="H2" s="22" t="s">
        <v>357</v>
      </c>
      <c r="I2" s="51"/>
      <c r="J2" s="20"/>
    </row>
    <row r="3" spans="1:10">
      <c r="A3" t="s">
        <v>1220</v>
      </c>
      <c r="B3" s="65" t="s">
        <v>222</v>
      </c>
      <c r="C3" t="s">
        <v>108</v>
      </c>
      <c r="D3" t="s">
        <v>1221</v>
      </c>
      <c r="E3" t="s">
        <v>1222</v>
      </c>
      <c r="F3" s="66">
        <v>46132</v>
      </c>
      <c r="G3">
        <v>2178</v>
      </c>
      <c r="H3" t="s">
        <v>357</v>
      </c>
    </row>
    <row r="4" spans="1:10">
      <c r="A4" s="52" t="s">
        <v>1223</v>
      </c>
    </row>
  </sheetData>
  <dataValidations count="1">
    <dataValidation type="list" allowBlank="1" sqref="H2:H1004" xr:uid="{00000000-0002-0000-0300-000000000000}">
      <formula1>"Pending,Approved,Rejected"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zoomScaleNormal="100" workbookViewId="0">
      <selection activeCell="G17" sqref="G17"/>
    </sheetView>
  </sheetViews>
  <sheetFormatPr defaultColWidth="8.7109375" defaultRowHeight="15"/>
  <cols>
    <col min="1" max="1" width="8" customWidth="1"/>
    <col min="2" max="3" width="11" customWidth="1"/>
    <col min="4" max="4" width="8" customWidth="1"/>
    <col min="5" max="5" width="10" customWidth="1"/>
    <col min="6" max="6" width="20" customWidth="1"/>
    <col min="7" max="7" width="18" customWidth="1"/>
    <col min="8" max="8" width="30" customWidth="1"/>
  </cols>
  <sheetData>
    <row r="1" spans="1:8" ht="18" customHeight="1">
      <c r="A1" s="1" t="s">
        <v>1224</v>
      </c>
      <c r="B1" s="1" t="s">
        <v>1225</v>
      </c>
      <c r="C1" s="1" t="s">
        <v>1226</v>
      </c>
      <c r="D1" s="1" t="s">
        <v>31</v>
      </c>
      <c r="E1" s="1" t="s">
        <v>1227</v>
      </c>
      <c r="F1" s="1" t="s">
        <v>1228</v>
      </c>
      <c r="G1" s="1" t="s">
        <v>1229</v>
      </c>
      <c r="H1" s="1" t="s">
        <v>16</v>
      </c>
    </row>
    <row r="2" spans="1:8" ht="15.75" customHeight="1">
      <c r="A2" s="53">
        <v>2024</v>
      </c>
      <c r="B2" s="12"/>
      <c r="C2" s="12"/>
      <c r="D2" s="12"/>
      <c r="E2" s="54">
        <f>IFERROR(D2/C2,0)</f>
        <v>0</v>
      </c>
      <c r="F2" s="55">
        <v>1861816</v>
      </c>
      <c r="G2" s="55"/>
      <c r="H2" s="56" t="s">
        <v>1230</v>
      </c>
    </row>
    <row r="3" spans="1:8" ht="15.75" customHeight="1">
      <c r="A3" s="53">
        <v>2025</v>
      </c>
      <c r="B3" s="12">
        <f>COUNTA('2025 Bid Tracker'!D:D)-COUNTIF('2025 Bid Tracker'!D:D,"Project Name")-1-COUNTIF('2025 Bid Tracker'!G:G,"Budget")</f>
        <v>143</v>
      </c>
      <c r="C3" s="12">
        <f>COUNTIFS('2025 Bid Tracker'!J:J,"Sent",'2025 Bid Tracker'!G:G,"&lt;&gt;Budget")+COUNTIFS('2025 Bid Tracker'!J:J,"Won",'2025 Bid Tracker'!G:G,"&lt;&gt;Budget")</f>
        <v>93</v>
      </c>
      <c r="D3" s="12">
        <f>COUNTIFS('2025 Bid Tracker'!K:K,"✔",'2025 Bid Tracker'!G:G,"&lt;&gt;Budget")</f>
        <v>17</v>
      </c>
      <c r="E3" s="54">
        <f>IFERROR(D3/C3,0)</f>
        <v>0.18279569892473119</v>
      </c>
      <c r="F3" s="55">
        <f>SUMIFS('2025 Bid Tracker'!M:M,'2025 Bid Tracker'!K:K,"✔",'2025 Bid Tracker'!G:G,"&lt;&gt;Budget")-'2025 Bid Tracker'!M126-'2025 Bid Tracker'!M183-'2025 Bid Tracker'!M125-'2025 Bid Tracker'!M154</f>
        <v>331875.96999999997</v>
      </c>
      <c r="G3" s="55">
        <f>IFERROR(F3/D3,0)</f>
        <v>19522.11588235294</v>
      </c>
      <c r="H3" s="56" t="s">
        <v>1231</v>
      </c>
    </row>
    <row r="4" spans="1:8" ht="15.75" customHeight="1">
      <c r="A4" s="53">
        <v>2026</v>
      </c>
      <c r="B4" s="12">
        <f>COUNTA('2026 Bid Tracker'!D:D)-COUNTIF('2026 Bid Tracker'!D:D,"Project Name")-1-COUNTIF('2026 Bid Tracker'!G:G,"Budget")</f>
        <v>108</v>
      </c>
      <c r="C4" s="12">
        <f>COUNTIFS('2026 Bid Tracker'!J:J,"Sent",'2026 Bid Tracker'!G:G,"&lt;&gt;Budget")+COUNTIFS('2026 Bid Tracker'!J:J,"Won",'2026 Bid Tracker'!G:G,"&lt;&gt;Budget")</f>
        <v>91</v>
      </c>
      <c r="D4" s="12">
        <f>COUNTIFS('2026 Bid Tracker'!K:K,"✔",'2026 Bid Tracker'!G:G,"&lt;&gt;Budget")</f>
        <v>24</v>
      </c>
      <c r="E4" s="54">
        <f>IFERROR(D4/C4,0)</f>
        <v>0.26373626373626374</v>
      </c>
      <c r="F4" s="55">
        <f>SUMIFS('2026 Bid Tracker'!M:M,'2026 Bid Tracker'!K:K,"✔",'2026 Bid Tracker'!G:G,"&lt;&gt;Budget")+'2025 Bid Tracker'!M126+'2025 Bid Tracker'!M183+'2025 Bid Tracker'!M125+'2025 Bid Tracker'!M154</f>
        <v>549952</v>
      </c>
      <c r="G4" s="55">
        <f>IFERROR(F4/D4,0)</f>
        <v>22914.666666666668</v>
      </c>
      <c r="H4" s="56" t="s">
        <v>1232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zoomScaleNormal="100" workbookViewId="0"/>
  </sheetViews>
  <sheetFormatPr defaultColWidth="8.7109375" defaultRowHeight="15"/>
  <cols>
    <col min="1" max="1" width="32" customWidth="1"/>
    <col min="2" max="3" width="22" customWidth="1"/>
    <col min="4" max="4" width="28" customWidth="1"/>
  </cols>
  <sheetData>
    <row r="1" spans="1:4" ht="27.75" customHeight="1">
      <c r="A1" s="69" t="s">
        <v>1233</v>
      </c>
      <c r="B1" s="69"/>
      <c r="C1" s="69"/>
      <c r="D1" s="69"/>
    </row>
    <row r="2" spans="1:4" ht="15.75" customHeight="1">
      <c r="A2" s="3" t="s">
        <v>1234</v>
      </c>
      <c r="B2" s="3" t="s">
        <v>1235</v>
      </c>
      <c r="C2" s="3" t="s">
        <v>1236</v>
      </c>
      <c r="D2" s="3" t="s">
        <v>16</v>
      </c>
    </row>
    <row r="3" spans="1:4" ht="15.75" customHeight="1">
      <c r="A3" s="57" t="s">
        <v>1237</v>
      </c>
      <c r="B3" s="58">
        <f>COUNTA('2026 Bid Tracker'!D:D)-COUNTIF('2026 Bid Tracker'!D:D,"Project Name")-1</f>
        <v>131</v>
      </c>
      <c r="C3" s="58">
        <f>COUNTA('2025 Bid Tracker'!D:D)-COUNTIF('2025 Bid Tracker'!D:D,"Project Name")-1</f>
        <v>178</v>
      </c>
      <c r="D3" s="59"/>
    </row>
    <row r="4" spans="1:4" ht="15.75" customHeight="1">
      <c r="A4" s="60" t="s">
        <v>1238</v>
      </c>
      <c r="B4" s="12">
        <f>COUNTIF('2026 Bid Tracker'!J:J,"Sent")+COUNTIF('2026 Bid Tracker'!J:J,"Won")</f>
        <v>113</v>
      </c>
      <c r="C4" s="12">
        <f>COUNTIF('2025 Bid Tracker'!J:J,"Sent")+COUNTIF('2025 Bid Tracker'!J:J,"Won")</f>
        <v>115</v>
      </c>
      <c r="D4" s="56"/>
    </row>
    <row r="5" spans="1:4" ht="15.75" customHeight="1">
      <c r="A5" s="57" t="s">
        <v>1239</v>
      </c>
      <c r="B5" s="58">
        <f>COUNTIF('2026 Bid Tracker'!K:K,"✔")</f>
        <v>25</v>
      </c>
      <c r="C5" s="58">
        <f>COUNTIF('2025 Bid Tracker'!K:K,"✔")</f>
        <v>20</v>
      </c>
      <c r="D5" s="59"/>
    </row>
    <row r="6" spans="1:4" ht="15.75" customHeight="1">
      <c r="A6" s="60" t="s">
        <v>1227</v>
      </c>
      <c r="B6" s="54">
        <f>IFERROR(B5/B4,0)</f>
        <v>0.22123893805309736</v>
      </c>
      <c r="C6" s="54">
        <f>IFERROR(C5/C4,0)</f>
        <v>0.17391304347826086</v>
      </c>
      <c r="D6" s="56" t="s">
        <v>1240</v>
      </c>
    </row>
    <row r="7" spans="1:4" ht="15.75" customHeight="1">
      <c r="A7" s="57" t="s">
        <v>1228</v>
      </c>
      <c r="B7" s="61">
        <f>SUMIF('2026 Bid Tracker'!K:K,"✔",'2026 Bid Tracker'!M:M)</f>
        <v>418192</v>
      </c>
      <c r="C7" s="61">
        <f>SUMIF('2025 Bid Tracker'!K:K,"✔",'2025 Bid Tracker'!M:M)</f>
        <v>695332.97</v>
      </c>
      <c r="D7" s="59"/>
    </row>
    <row r="8" spans="1:4" ht="15.75" customHeight="1">
      <c r="A8" s="60" t="s">
        <v>1241</v>
      </c>
      <c r="B8" s="14">
        <f>IFERROR(B7/B5,0)</f>
        <v>16727.68</v>
      </c>
      <c r="C8" s="14">
        <f>IFERROR(C7/C5,0)</f>
        <v>34766.648499999996</v>
      </c>
      <c r="D8" s="56" t="s">
        <v>1242</v>
      </c>
    </row>
    <row r="9" spans="1:4" ht="15.75" customHeight="1">
      <c r="A9" s="57" t="s">
        <v>1243</v>
      </c>
      <c r="B9" s="61">
        <f>IFERROR(AVERAGEIF('2026 Bid Tracker'!M:M,"&gt;0",'2026 Bid Tracker'!M:M),0)</f>
        <v>47193.336134453784</v>
      </c>
      <c r="C9" s="61">
        <f>IFERROR(AVERAGEIF('2025 Bid Tracker'!M:M,"&gt;0",'2025 Bid Tracker'!M:M),0)</f>
        <v>62148.859854014605</v>
      </c>
      <c r="D9" s="59" t="s">
        <v>1244</v>
      </c>
    </row>
    <row r="10" spans="1:4" ht="15.75" customHeight="1">
      <c r="A10" s="60" t="s">
        <v>1245</v>
      </c>
      <c r="B10" s="12">
        <f>COUNTA('Current Jobs'!B:B)-1</f>
        <v>46</v>
      </c>
      <c r="C10" s="12"/>
      <c r="D10" s="56" t="s">
        <v>1246</v>
      </c>
    </row>
    <row r="11" spans="1:4" ht="15.75" customHeight="1">
      <c r="A11" s="57" t="s">
        <v>1247</v>
      </c>
      <c r="B11" s="61">
        <f>IFERROR(SUM('Current Jobs'!H:H),0)</f>
        <v>0</v>
      </c>
      <c r="C11" s="61"/>
      <c r="D11" s="59" t="s">
        <v>1248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9"/>
  <sheetViews>
    <sheetView zoomScaleNormal="100" workbookViewId="0"/>
  </sheetViews>
  <sheetFormatPr defaultColWidth="8.7109375" defaultRowHeight="15"/>
  <sheetData>
    <row r="1" spans="1:16">
      <c r="A1" t="s">
        <v>460</v>
      </c>
      <c r="L1" t="s">
        <v>1249</v>
      </c>
    </row>
    <row r="2" spans="1:16">
      <c r="L2" s="62">
        <v>45874</v>
      </c>
      <c r="M2">
        <v>26</v>
      </c>
      <c r="N2" t="s">
        <v>1250</v>
      </c>
      <c r="O2" t="s">
        <v>1251</v>
      </c>
    </row>
    <row r="3" spans="1:16">
      <c r="L3" s="62">
        <v>45875</v>
      </c>
      <c r="M3">
        <v>22</v>
      </c>
      <c r="N3" t="s">
        <v>1250</v>
      </c>
      <c r="O3" t="s">
        <v>1252</v>
      </c>
    </row>
    <row r="4" spans="1:16">
      <c r="L4" s="62">
        <v>45877</v>
      </c>
      <c r="M4">
        <v>65</v>
      </c>
      <c r="N4" t="s">
        <v>1250</v>
      </c>
      <c r="O4" t="s">
        <v>1253</v>
      </c>
      <c r="P4" t="s">
        <v>1254</v>
      </c>
    </row>
    <row r="10" spans="1:16">
      <c r="L10" t="s">
        <v>1255</v>
      </c>
      <c r="M10">
        <v>113</v>
      </c>
    </row>
    <row r="11" spans="1:16">
      <c r="L11" t="s">
        <v>1256</v>
      </c>
      <c r="M11">
        <v>0.7</v>
      </c>
      <c r="N11" t="s">
        <v>1257</v>
      </c>
    </row>
    <row r="13" spans="1:16">
      <c r="M13">
        <v>79.099999999999994</v>
      </c>
    </row>
    <row r="16" spans="1:16">
      <c r="A16" t="s">
        <v>1258</v>
      </c>
    </row>
    <row r="17" spans="1:2">
      <c r="A17" t="s">
        <v>1259</v>
      </c>
      <c r="B17" t="s">
        <v>1260</v>
      </c>
    </row>
    <row r="18" spans="1:2">
      <c r="A18" t="s">
        <v>1261</v>
      </c>
      <c r="B18" t="s">
        <v>1262</v>
      </c>
    </row>
    <row r="19" spans="1:2">
      <c r="A19" t="s">
        <v>53</v>
      </c>
      <c r="B19" t="s">
        <v>874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Evan Ramsey</cp:lastModifiedBy>
  <cp:revision>0</cp:revision>
  <dcterms:created xsi:type="dcterms:W3CDTF">2026-04-13T21:29:29Z</dcterms:created>
  <dcterms:modified xsi:type="dcterms:W3CDTF">2026-04-21T21:00:35Z</dcterms:modified>
  <cp:category/>
  <cp:contentStatus/>
</cp:coreProperties>
</file>